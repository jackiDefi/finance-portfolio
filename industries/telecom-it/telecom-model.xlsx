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Debt" sheetId="4" state="visible" r:id="rId4"/>
    <sheet xmlns:r="http://schemas.openxmlformats.org/officeDocument/2006/relationships" name="PPE" sheetId="5" state="visible" r:id="rId5"/>
    <sheet xmlns:r="http://schemas.openxmlformats.org/officeDocument/2006/relationships" name="WC" sheetId="6" state="visible" r:id="rId6"/>
    <sheet xmlns:r="http://schemas.openxmlformats.org/officeDocument/2006/relationships" name="Tax" sheetId="7" state="visible" r:id="rId7"/>
    <sheet xmlns:r="http://schemas.openxmlformats.org/officeDocument/2006/relationships" name="IS" sheetId="8" state="visible" r:id="rId8"/>
    <sheet xmlns:r="http://schemas.openxmlformats.org/officeDocument/2006/relationships" name="Equity" sheetId="9" state="visible" r:id="rId9"/>
    <sheet xmlns:r="http://schemas.openxmlformats.org/officeDocument/2006/relationships" name="BS" sheetId="10" state="visible" r:id="rId10"/>
    <sheet xmlns:r="http://schemas.openxmlformats.org/officeDocument/2006/relationships" name="CFS" sheetId="11" state="visible" r:id="rId11"/>
    <sheet xmlns:r="http://schemas.openxmlformats.org/officeDocument/2006/relationships" name="Budget" sheetId="12" state="visible" r:id="rId12"/>
    <sheet xmlns:r="http://schemas.openxmlformats.org/officeDocument/2006/relationships" name="Scenarios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Valuation" sheetId="15" state="visible" r:id="rId15"/>
    <sheet xmlns:r="http://schemas.openxmlformats.org/officeDocument/2006/relationships" name="Check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#,##0&quot; d&quot;"/>
    <numFmt numFmtId="167" formatCode="#,##0.0"/>
    <numFmt numFmtId="168" formatCode="0.0000"/>
    <numFmt numFmtId="169" formatCode="0.00&quot;x&quot;"/>
  </numFmts>
  <fonts count="10">
    <font>
      <name val="Calibri"/>
      <family val="2"/>
      <color theme="1"/>
      <sz val="11"/>
      <scheme val="minor"/>
    </font>
    <font>
      <name val="Calibri"/>
      <b val="1"/>
      <color rgb="000A1828"/>
      <sz val="18"/>
    </font>
    <font>
      <name val="Calibri"/>
      <i val="1"/>
      <color rgb="005A6573"/>
      <sz val="10"/>
    </font>
    <font>
      <name val="Calibri"/>
      <b val="1"/>
      <color rgb="00B87333"/>
      <sz val="10"/>
    </font>
    <font>
      <name val="Calibri"/>
      <color rgb="00000000"/>
      <sz val="11"/>
      <u val="single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color rgb="000563C1"/>
      <sz val="11"/>
    </font>
    <font>
      <name val="Calibri"/>
      <color rgb="005A6573"/>
      <sz val="9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A1828"/>
      </patternFill>
    </fill>
    <fill>
      <patternFill patternType="solid">
        <fgColor rgb="00F1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164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0" fontId="0" fillId="2" borderId="0" pivotButton="0" quotePrefix="0" xfId="0"/>
    <xf numFmtId="0" fontId="9" fillId="2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0" fontId="5" fillId="3" borderId="0" pivotButton="0" quotePrefix="0" xfId="0"/>
    <xf numFmtId="164" fontId="5" fillId="3" borderId="0" applyAlignment="1" pivotButton="0" quotePrefix="0" xfId="0">
      <alignment horizontal="right"/>
    </xf>
    <xf numFmtId="49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3" fontId="5" fillId="3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4" fontId="5" fillId="3" borderId="0" applyAlignment="1" pivotButton="0" quotePrefix="0" xfId="0">
      <alignment horizontal="right"/>
    </xf>
    <xf numFmtId="16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Calibri"/>
        <b val="1"/>
        <color rgb="002C7A3E"/>
        <sz val="11"/>
      </font>
      <fill>
        <patternFill patternType="solid">
          <fgColor rgb="00DDF0DC"/>
        </patternFill>
      </fill>
    </dxf>
    <dxf>
      <font>
        <name val="Calibri"/>
        <b val="1"/>
        <color rgb="00B33231"/>
        <sz val="11"/>
      </font>
      <fill>
        <patternFill patternType="solid">
          <fgColor rgb="00F8D7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70" customWidth="1" min="3" max="3"/>
  </cols>
  <sheetData>
    <row r="2">
      <c r="B2" s="1" t="inlineStr">
        <is>
          <t>Telecom &amp; IT — Operating Model</t>
        </is>
      </c>
    </row>
    <row r="3">
      <c r="B3" s="2" t="inlineStr">
        <is>
          <t>Author: Togrul Mirzayev   •   Generated: 2026-05-24</t>
        </is>
      </c>
    </row>
    <row r="5">
      <c r="B5" s="3" t="inlineStr">
        <is>
          <t>PORTFOLIO</t>
        </is>
      </c>
    </row>
    <row r="6">
      <c r="B6" s="4" t="inlineStr">
        <is>
          <t>https://jackidefi.github.io/finance-portfolio/</t>
        </is>
      </c>
    </row>
    <row r="8">
      <c r="B8" s="3" t="inlineStr">
        <is>
          <t>MODEL MAP</t>
        </is>
      </c>
    </row>
    <row r="10">
      <c r="B10" s="5" t="inlineStr">
        <is>
          <t>Assumptions</t>
        </is>
      </c>
      <c r="C10" s="6" t="inlineStr">
        <is>
          <t>Every driver and Y0 starting balance — blue cells, change freely.</t>
        </is>
      </c>
    </row>
    <row r="11">
      <c r="B11" s="5" t="inlineStr">
        <is>
          <t>Drivers</t>
        </is>
      </c>
      <c r="C11" s="6" t="inlineStr">
        <is>
          <t>Subscriber and ARPU buildup; service revenue ties back to Assumptions.</t>
        </is>
      </c>
    </row>
    <row r="12">
      <c r="B12" s="5" t="inlineStr">
        <is>
          <t>IS</t>
        </is>
      </c>
      <c r="C12" s="6" t="inlineStr">
        <is>
          <t>Income Statement, fully formula-driven, Y1-Y5.</t>
        </is>
      </c>
    </row>
    <row r="13">
      <c r="B13" s="5" t="inlineStr">
        <is>
          <t>BS</t>
        </is>
      </c>
      <c r="C13" s="6" t="inlineStr">
        <is>
          <t>Balance Sheet, Y0 opening + Y1-Y5 forecast. Must balance.</t>
        </is>
      </c>
    </row>
    <row r="14">
      <c r="B14" s="5" t="inlineStr">
        <is>
          <t>CFS</t>
        </is>
      </c>
      <c r="C14" s="6" t="inlineStr">
        <is>
          <t>Cash Flow Statement, indirect method. Ties to change in cash on BS.</t>
        </is>
      </c>
    </row>
    <row r="15">
      <c r="B15" s="5" t="inlineStr">
        <is>
          <t>Equity</t>
        </is>
      </c>
      <c r="C15" s="6" t="inlineStr">
        <is>
          <t>Equity rollforward — share capital, retained earnings, OCI, minority.</t>
        </is>
      </c>
    </row>
    <row r="16">
      <c r="B16" s="5" t="inlineStr">
        <is>
          <t>Debt</t>
        </is>
      </c>
      <c r="C16" s="6" t="inlineStr">
        <is>
          <t>Debt schedule — gross debt, interest, period movements.</t>
        </is>
      </c>
    </row>
    <row r="17">
      <c r="B17" s="5" t="inlineStr">
        <is>
          <t>PPE</t>
        </is>
      </c>
      <c r="C17" s="6" t="inlineStr">
        <is>
          <t>PP&amp;E rollforward — capex in, D&amp;A out, closing balance to BS.</t>
        </is>
      </c>
    </row>
    <row r="18">
      <c r="B18" s="5" t="inlineStr">
        <is>
          <t>WC</t>
        </is>
      </c>
      <c r="C18" s="6" t="inlineStr">
        <is>
          <t>Working capital schedule — AR, inventory, AP from days ratios.</t>
        </is>
      </c>
    </row>
    <row r="19">
      <c r="B19" s="5" t="inlineStr">
        <is>
          <t>Tax</t>
        </is>
      </c>
      <c r="C19" s="6" t="inlineStr">
        <is>
          <t>Tax expense schedule — current tax, effective rate.</t>
        </is>
      </c>
    </row>
    <row r="20">
      <c r="B20" s="5" t="inlineStr">
        <is>
          <t>Budget</t>
        </is>
      </c>
      <c r="C20" s="6" t="inlineStr">
        <is>
          <t>Y1 broken into 12 months with quarterly subtotals (planning view).</t>
        </is>
      </c>
    </row>
    <row r="21">
      <c r="B21" s="5" t="inlineStr">
        <is>
          <t>Scenarios</t>
        </is>
      </c>
      <c r="C21" s="6" t="inlineStr">
        <is>
          <t>Downside / Base / Upside switcher; flexes growth, margin, capex.</t>
        </is>
      </c>
    </row>
    <row r="22">
      <c r="B22" s="5" t="inlineStr">
        <is>
          <t>Sensitivity</t>
        </is>
      </c>
      <c r="C22" s="6" t="inlineStr">
        <is>
          <t>Two-way tables: WACC × terminal growth, margin × revenue growth.</t>
        </is>
      </c>
    </row>
    <row r="23">
      <c r="B23" s="5" t="inlineStr">
        <is>
          <t>Valuation</t>
        </is>
      </c>
      <c r="C23" s="6" t="inlineStr">
        <is>
          <t>DCF (Gordon-growth terminal), EV/EBITDA cross-check, per-share.</t>
        </is>
      </c>
    </row>
    <row r="24">
      <c r="B24" s="5" t="inlineStr">
        <is>
          <t>Checks</t>
        </is>
      </c>
      <c r="C24" s="6" t="inlineStr">
        <is>
          <t>BS balance, CFS reconciliation, cash positivity, sources = uses.</t>
        </is>
      </c>
    </row>
    <row r="27">
      <c r="B27" s="3" t="inlineStr">
        <is>
          <t>COLOUR LEGEND</t>
        </is>
      </c>
    </row>
    <row r="28">
      <c r="B28" s="7" t="inlineStr">
        <is>
          <t>Blue</t>
        </is>
      </c>
      <c r="C28" s="6" t="inlineStr">
        <is>
          <t>Hard-coded input — change freely.</t>
        </is>
      </c>
    </row>
    <row r="29">
      <c r="B29" s="6" t="inlineStr">
        <is>
          <t>Black</t>
        </is>
      </c>
      <c r="C29" s="6" t="inlineStr">
        <is>
          <t>Formula referencing other cells.</t>
        </is>
      </c>
    </row>
    <row r="30">
      <c r="B30" s="5" t="inlineStr">
        <is>
          <t>Bold</t>
        </is>
      </c>
      <c r="C30" s="6" t="inlineStr">
        <is>
          <t>Subtotal or key model output.</t>
        </is>
      </c>
    </row>
    <row r="31">
      <c r="B31" s="6" t="inlineStr">
        <is>
          <t>Green / red fills</t>
        </is>
      </c>
      <c r="C31" s="6" t="inlineStr">
        <is>
          <t>Checks sheet — pass / fail status.</t>
        </is>
      </c>
    </row>
    <row r="33">
      <c r="B33" s="3" t="inlineStr">
        <is>
          <t>DATA DISCLAIMER</t>
        </is>
      </c>
    </row>
    <row r="34" ht="15" customHeight="1">
      <c r="B34" s="8" t="inlineStr">
        <is>
          <t>Default values are calibrated to roughly approximate STC (Tadawul: 7010) at the consolidated level, but starting balance-sheet line items are illustrative — they are NOT extracted from actual STC filings. The model demonstrates structure and methodology. For a publication-grade analysis, replace all blue input cells with figures verified against STC's audited financial statements.</t>
        </is>
      </c>
    </row>
    <row r="35" ht="15" customHeight="1"/>
    <row r="36" ht="15" customHeight="1"/>
    <row r="37" ht="15" customHeight="1"/>
    <row r="38" ht="15" customHeight="1"/>
    <row r="40">
      <c r="B40" s="3" t="inlineStr">
        <is>
          <t>MODEL CONVENTIONS</t>
        </is>
      </c>
    </row>
    <row r="41">
      <c r="B41" s="6" t="inlineStr">
        <is>
          <t>•  All figures in SAR billion unless noted (subscribers in millions, ARPU in SAR / month).</t>
        </is>
      </c>
    </row>
    <row r="42">
      <c r="B42" s="6" t="inlineStr">
        <is>
          <t>•  Forecast horizon: 5 explicit years (Y1-Y5). Y0 is the base / opening period.</t>
        </is>
      </c>
    </row>
    <row r="43">
      <c r="B43" s="6" t="inlineStr">
        <is>
          <t>•  Interest expense uses cost-of-debt × opening total debt to avoid circular references.</t>
        </is>
      </c>
    </row>
    <row r="44">
      <c r="B44" s="6" t="inlineStr">
        <is>
          <t>•  Working capital is built from DSO / DIO / DPO ratios applied to revenue and COGS.</t>
        </is>
      </c>
    </row>
    <row r="45">
      <c r="B45" s="6" t="inlineStr">
        <is>
          <t>•  Depreciation is driven by D&amp;A as % of revenue; PP&amp;E rolls forward as opening + capex − D&amp;A.</t>
        </is>
      </c>
    </row>
    <row r="46">
      <c r="B46" s="6" t="inlineStr">
        <is>
          <t>•  Tax is a single effective rate applied to pre-tax income; deferred tax held flat.</t>
        </is>
      </c>
    </row>
    <row r="47">
      <c r="B47" s="6" t="inlineStr">
        <is>
          <t>•  Dividends = payout ratio × net income; equity rolls forward through the Equity sheet.</t>
        </is>
      </c>
    </row>
    <row r="48">
      <c r="B48" s="6" t="inlineStr">
        <is>
          <t>•  Terminal value via Gordon growth: FCFF_Y5 × (1+g) ÷ (WACC − g).</t>
        </is>
      </c>
    </row>
    <row r="49">
      <c r="B49" s="6" t="inlineStr">
        <is>
          <t>•  BS plugs to cash from the CFS — if every BS movement is correctly mirrored in CFS, the BS balances.</t>
        </is>
      </c>
    </row>
  </sheetData>
  <mergeCells count="10">
    <mergeCell ref="B44:C44"/>
    <mergeCell ref="B47:C47"/>
    <mergeCell ref="B48:C48"/>
    <mergeCell ref="B34:C38"/>
    <mergeCell ref="B42:C42"/>
    <mergeCell ref="B45:C45"/>
    <mergeCell ref="B46:C46"/>
    <mergeCell ref="B41:C41"/>
    <mergeCell ref="B49:C49"/>
    <mergeCell ref="B43:C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60" customWidth="1" min="3" max="3"/>
  </cols>
  <sheetData>
    <row r="1">
      <c r="A1" s="3" t="inlineStr">
        <is>
          <t>ASSUMPTIONS</t>
        </is>
      </c>
    </row>
    <row r="2">
      <c r="A2" s="2" t="inlineStr">
        <is>
          <t>All inputs to the model live on this sheet. Change blue cells freely.</t>
        </is>
      </c>
    </row>
    <row r="4">
      <c r="A4" s="3" t="inlineStr">
        <is>
          <t>Operating drivers</t>
        </is>
      </c>
    </row>
    <row r="5">
      <c r="A5" s="6" t="inlineStr">
        <is>
          <t>Service revenue Y0 (SAR bn)</t>
        </is>
      </c>
      <c r="B5" s="9" t="n">
        <v>75</v>
      </c>
      <c r="C5" s="2" t="inlineStr">
        <is>
          <t>Year 0 base; everything scales from here.</t>
        </is>
      </c>
    </row>
    <row r="6">
      <c r="A6" s="6" t="inlineStr">
        <is>
          <t>Revenue growth (annual)</t>
        </is>
      </c>
      <c r="B6" s="10" t="n">
        <v>0.06</v>
      </c>
      <c r="C6" s="2" t="inlineStr">
        <is>
          <t>Applied to every forecast year (Scenarios sheet can override).</t>
        </is>
      </c>
    </row>
    <row r="7">
      <c r="A7" s="6" t="inlineStr">
        <is>
          <t>EBITDA margin (target, info only)</t>
        </is>
      </c>
      <c r="B7" s="10" t="n">
        <v>0.36</v>
      </c>
      <c r="C7" s="2" t="inlineStr">
        <is>
          <t>Reference value. Actual EBITDA is computed bottom-up from cost lines below.</t>
        </is>
      </c>
    </row>
    <row r="8">
      <c r="A8" s="6" t="inlineStr">
        <is>
          <t>D&amp;A / revenue</t>
        </is>
      </c>
      <c r="B8" s="10" t="n">
        <v>0.16</v>
      </c>
      <c r="C8" s="2" t="inlineStr">
        <is>
          <t>Drives PP&amp;E rollforward and depreciation expense.</t>
        </is>
      </c>
    </row>
    <row r="9">
      <c r="A9" s="6" t="inlineStr">
        <is>
          <t>Capex intensity</t>
        </is>
      </c>
      <c r="B9" s="10" t="n">
        <v>0.18</v>
      </c>
      <c r="C9" s="2" t="inlineStr">
        <is>
          <t>Capex ÷ revenue, fed into PP&amp;E and CFS.</t>
        </is>
      </c>
    </row>
    <row r="11">
      <c r="A11" s="3" t="inlineStr">
        <is>
          <t>Cost structure (% of revenue)</t>
        </is>
      </c>
    </row>
    <row r="12">
      <c r="A12" s="6" t="inlineStr">
        <is>
          <t>COGS / interconnect / content</t>
        </is>
      </c>
      <c r="B12" s="10" t="n">
        <v>0.22</v>
      </c>
      <c r="C12" s="2" t="inlineStr">
        <is>
          <t>Variable; partly indexed to revenue.</t>
        </is>
      </c>
    </row>
    <row r="13">
      <c r="A13" s="6" t="inlineStr">
        <is>
          <t>Network opex</t>
        </is>
      </c>
      <c r="B13" s="10" t="n">
        <v>0.14</v>
      </c>
      <c r="C13" s="2" t="inlineStr">
        <is>
          <t>Site lease, energy, maintenance — mostly fixed.</t>
        </is>
      </c>
    </row>
    <row r="14">
      <c r="A14" s="6" t="inlineStr">
        <is>
          <t>Employee costs</t>
        </is>
      </c>
      <c r="B14" s="10" t="n">
        <v>0.12</v>
      </c>
      <c r="C14" s="2" t="inlineStr">
        <is>
          <t>Quasi-fixed.</t>
        </is>
      </c>
    </row>
    <row r="15">
      <c r="A15" s="6" t="inlineStr">
        <is>
          <t>Customer acquisition / commercial</t>
        </is>
      </c>
      <c r="B15" s="10" t="n">
        <v>0.05</v>
      </c>
      <c r="C15" s="2" t="inlineStr">
        <is>
          <t>Subsidies, dealer commissions.</t>
        </is>
      </c>
    </row>
    <row r="16">
      <c r="A16" s="6" t="inlineStr">
        <is>
          <t>Other opex / G&amp;A</t>
        </is>
      </c>
      <c r="B16" s="10" t="n">
        <v>0.11</v>
      </c>
      <c r="C16" s="2" t="inlineStr">
        <is>
          <t>Catch-all; sum of all five lines + EBITDA margin should = 100%.</t>
        </is>
      </c>
    </row>
    <row r="17">
      <c r="A17" s="6" t="inlineStr">
        <is>
          <t>Finance income / revenue</t>
        </is>
      </c>
      <c r="B17" s="10" t="n">
        <v>0.005</v>
      </c>
      <c r="C17" s="2" t="inlineStr">
        <is>
          <t>Treasury yield on cash and short-term investments.</t>
        </is>
      </c>
    </row>
    <row r="19">
      <c r="A19" s="3" t="inlineStr">
        <is>
          <t>Financial</t>
        </is>
      </c>
    </row>
    <row r="20">
      <c r="A20" s="6" t="inlineStr">
        <is>
          <t>Tax / zakat rate</t>
        </is>
      </c>
      <c r="B20" s="10" t="n">
        <v>0.15</v>
      </c>
      <c r="C20" s="2" t="inlineStr">
        <is>
          <t>Effective rate applied to pre-tax income.</t>
        </is>
      </c>
    </row>
    <row r="21">
      <c r="A21" s="6" t="inlineStr">
        <is>
          <t>WACC</t>
        </is>
      </c>
      <c r="B21" s="10" t="n">
        <v>0.09</v>
      </c>
      <c r="C21" s="2" t="inlineStr">
        <is>
          <t>Discount rate for DCF.</t>
        </is>
      </c>
    </row>
    <row r="22">
      <c r="A22" s="6" t="inlineStr">
        <is>
          <t>Terminal growth (g)</t>
        </is>
      </c>
      <c r="B22" s="10" t="n">
        <v>0.03</v>
      </c>
      <c r="C22" s="2" t="inlineStr">
        <is>
          <t>Long-run nominal growth; must be &lt; WACC.</t>
        </is>
      </c>
    </row>
    <row r="23">
      <c r="A23" s="6" t="inlineStr">
        <is>
          <t>Cost of debt (interest)</t>
        </is>
      </c>
      <c r="B23" s="10" t="n">
        <v>0.05</v>
      </c>
      <c r="C23" s="2" t="inlineStr">
        <is>
          <t>Applied to opening total debt for period interest.</t>
        </is>
      </c>
    </row>
    <row r="24">
      <c r="A24" s="6" t="inlineStr">
        <is>
          <t>Dividend payout (% of NI)</t>
        </is>
      </c>
      <c r="B24" s="10" t="n">
        <v>0.5</v>
      </c>
      <c r="C24" s="2" t="inlineStr">
        <is>
          <t>Used to compute dividends in equity rollforward &amp; CFS.</t>
        </is>
      </c>
    </row>
    <row r="26">
      <c r="A26" s="3" t="inlineStr">
        <is>
          <t>Working capital (days)</t>
        </is>
      </c>
    </row>
    <row r="27">
      <c r="A27" s="6" t="inlineStr">
        <is>
          <t>Days sales outstanding (DSO)</t>
        </is>
      </c>
      <c r="B27" s="11" t="n">
        <v>75</v>
      </c>
      <c r="C27" s="2" t="inlineStr">
        <is>
          <t>Drives accounts receivable on BS.</t>
        </is>
      </c>
    </row>
    <row r="28">
      <c r="A28" s="6" t="inlineStr">
        <is>
          <t>Days inventory outstanding (DIO)</t>
        </is>
      </c>
      <c r="B28" s="11" t="n">
        <v>30</v>
      </c>
      <c r="C28" s="2" t="inlineStr">
        <is>
          <t>Drives inventory on BS.</t>
        </is>
      </c>
    </row>
    <row r="29">
      <c r="A29" s="6" t="inlineStr">
        <is>
          <t>Days payables outstanding (DPO)</t>
        </is>
      </c>
      <c r="B29" s="11" t="n">
        <v>90</v>
      </c>
      <c r="C29" s="2" t="inlineStr">
        <is>
          <t>Drives accounts payable on BS.</t>
        </is>
      </c>
    </row>
    <row r="31">
      <c r="A31" s="3" t="inlineStr">
        <is>
          <t>Capital structure</t>
        </is>
      </c>
    </row>
    <row r="32">
      <c r="A32" s="6" t="inlineStr">
        <is>
          <t>Shares outstanding (millions)</t>
        </is>
      </c>
      <c r="B32" s="12" t="n">
        <v>5000</v>
      </c>
      <c r="C32" s="2" t="inlineStr">
        <is>
          <t>Used for per-share value.</t>
        </is>
      </c>
    </row>
    <row r="34">
      <c r="A34" s="3" t="inlineStr">
        <is>
          <t>Balance sheet Y0 — Assets</t>
        </is>
      </c>
    </row>
    <row r="35">
      <c r="A35" s="6" t="inlineStr">
        <is>
          <t>Cash &amp; equivalents</t>
        </is>
      </c>
      <c r="B35" s="9" t="n">
        <v>10</v>
      </c>
      <c r="C35" s="2" t="inlineStr">
        <is>
          <t>Opening cash; plugs through CFS thereafter.</t>
        </is>
      </c>
    </row>
    <row r="36">
      <c r="A36" s="6" t="inlineStr">
        <is>
          <t>Accounts receivable</t>
        </is>
      </c>
      <c r="B36" s="9" t="n">
        <v>15.4</v>
      </c>
      <c r="C36" s="2" t="inlineStr">
        <is>
          <t>Calibrated to DSO × revenue.</t>
        </is>
      </c>
    </row>
    <row r="37">
      <c r="A37" s="6" t="inlineStr">
        <is>
          <t>Inventory</t>
        </is>
      </c>
      <c r="B37" s="9" t="n">
        <v>2.5</v>
      </c>
    </row>
    <row r="38">
      <c r="A38" s="6" t="inlineStr">
        <is>
          <t>Other current assets</t>
        </is>
      </c>
      <c r="B38" s="9" t="n">
        <v>5</v>
      </c>
      <c r="C38" s="2" t="inlineStr">
        <is>
          <t>Held flat in forecast.</t>
        </is>
      </c>
    </row>
    <row r="39">
      <c r="A39" s="6" t="inlineStr">
        <is>
          <t>Property, plant &amp; equipment</t>
        </is>
      </c>
      <c r="B39" s="9" t="n">
        <v>80</v>
      </c>
      <c r="C39" s="2" t="inlineStr">
        <is>
          <t>Net book value; rolls forward via PPE sheet.</t>
        </is>
      </c>
    </row>
    <row r="40">
      <c r="A40" s="6" t="inlineStr">
        <is>
          <t>Goodwill</t>
        </is>
      </c>
      <c r="B40" s="9" t="n">
        <v>25</v>
      </c>
      <c r="C40" s="2" t="inlineStr">
        <is>
          <t>Held flat (no impairment in default case).</t>
        </is>
      </c>
    </row>
    <row r="41">
      <c r="A41" s="6" t="inlineStr">
        <is>
          <t>Intangibles (incl. spectrum)</t>
        </is>
      </c>
      <c r="B41" s="9" t="n">
        <v>15</v>
      </c>
      <c r="C41" s="2" t="inlineStr">
        <is>
          <t>Held flat.</t>
        </is>
      </c>
    </row>
    <row r="42">
      <c r="A42" s="6" t="inlineStr">
        <is>
          <t>Investments / associates</t>
        </is>
      </c>
      <c r="B42" s="9" t="n">
        <v>8</v>
      </c>
    </row>
    <row r="43">
      <c r="A43" s="6" t="inlineStr">
        <is>
          <t>Deferred tax assets</t>
        </is>
      </c>
      <c r="B43" s="9" t="n">
        <v>2</v>
      </c>
      <c r="C43" s="2" t="inlineStr">
        <is>
          <t>Held flat.</t>
        </is>
      </c>
    </row>
    <row r="45">
      <c r="A45" s="3" t="inlineStr">
        <is>
          <t>Balance sheet Y0 — Liabilities</t>
        </is>
      </c>
    </row>
    <row r="46">
      <c r="A46" s="6" t="inlineStr">
        <is>
          <t>Accounts payable</t>
        </is>
      </c>
      <c r="B46" s="9" t="n">
        <v>7.5</v>
      </c>
      <c r="C46" s="2" t="inlineStr">
        <is>
          <t>Calibrated to DPO × COGS.</t>
        </is>
      </c>
    </row>
    <row r="47">
      <c r="A47" s="6" t="inlineStr">
        <is>
          <t>Other current liabilities</t>
        </is>
      </c>
      <c r="B47" s="9" t="n">
        <v>10</v>
      </c>
    </row>
    <row r="48">
      <c r="A48" s="6" t="inlineStr">
        <is>
          <t>Short-term debt</t>
        </is>
      </c>
      <c r="B48" s="9" t="n">
        <v>5</v>
      </c>
    </row>
    <row r="49">
      <c r="A49" s="6" t="inlineStr">
        <is>
          <t>Long-term debt</t>
        </is>
      </c>
      <c r="B49" s="9" t="n">
        <v>20</v>
      </c>
    </row>
    <row r="50">
      <c r="A50" s="6" t="inlineStr">
        <is>
          <t>Lease liabilities (IFRS 16)</t>
        </is>
      </c>
      <c r="B50" s="9" t="n">
        <v>18</v>
      </c>
      <c r="C50" s="2" t="inlineStr">
        <is>
          <t>Held flat in forecast (simplification).</t>
        </is>
      </c>
    </row>
    <row r="51">
      <c r="A51" s="6" t="inlineStr">
        <is>
          <t>Provisions</t>
        </is>
      </c>
      <c r="B51" s="9" t="n">
        <v>5</v>
      </c>
    </row>
    <row r="52">
      <c r="A52" s="6" t="inlineStr">
        <is>
          <t>Deferred tax liabilities</t>
        </is>
      </c>
      <c r="B52" s="9" t="n">
        <v>3</v>
      </c>
      <c r="C52" s="2" t="inlineStr">
        <is>
          <t>Held flat.</t>
        </is>
      </c>
    </row>
    <row r="53">
      <c r="A53" s="6" t="inlineStr">
        <is>
          <t>Other non-current liabilities</t>
        </is>
      </c>
      <c r="B53" s="9" t="n">
        <v>5</v>
      </c>
    </row>
    <row r="55">
      <c r="A55" s="3" t="inlineStr">
        <is>
          <t>Balance sheet Y0 — Equity</t>
        </is>
      </c>
    </row>
    <row r="56">
      <c r="A56" s="6" t="inlineStr">
        <is>
          <t>Share capital</t>
        </is>
      </c>
      <c r="B56" s="9" t="n">
        <v>2</v>
      </c>
      <c r="C56" s="2" t="inlineStr">
        <is>
          <t>Held flat (no issuance / buyback).</t>
        </is>
      </c>
    </row>
    <row r="57">
      <c r="A57" s="6" t="inlineStr">
        <is>
          <t>Retained earnings</t>
        </is>
      </c>
      <c r="B57" s="9" t="n">
        <v>79.5</v>
      </c>
      <c r="C57" s="2" t="inlineStr">
        <is>
          <t>Computed plug so total balance sheet balances at Y0.</t>
        </is>
      </c>
    </row>
    <row r="58">
      <c r="A58" s="6" t="inlineStr">
        <is>
          <t>OCI reserve</t>
        </is>
      </c>
      <c r="B58" s="9" t="n">
        <v>0</v>
      </c>
      <c r="C58" s="2" t="inlineStr">
        <is>
          <t>Default: nil movement.</t>
        </is>
      </c>
    </row>
    <row r="59">
      <c r="A59" s="6" t="inlineStr">
        <is>
          <t>Minority interest</t>
        </is>
      </c>
      <c r="B59" s="9" t="n">
        <v>7.9</v>
      </c>
      <c r="C59" s="2" t="inlineStr">
        <is>
          <t>Held flat.</t>
        </is>
      </c>
    </row>
    <row r="61">
      <c r="A61" s="3" t="inlineStr">
        <is>
          <t>Scenario selector</t>
        </is>
      </c>
    </row>
    <row r="62">
      <c r="A62" s="6" t="inlineStr">
        <is>
          <t>Active scenario (1=Down, 2=Base, 3=Up)</t>
        </is>
      </c>
      <c r="B62" s="12" t="n">
        <v>2</v>
      </c>
      <c r="C62" s="2" t="inlineStr">
        <is>
          <t>Drives the Scenarios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REVENUE &amp; SUBSCRIBER DRIVERS</t>
        </is>
      </c>
    </row>
    <row r="2">
      <c r="A2" s="2" t="inlineStr">
        <is>
          <t>Illustrative segment buildup. Segment revenues scale to match the total service revenue on Assumptions.</t>
        </is>
      </c>
    </row>
    <row r="4">
      <c r="A4" s="13" t="n"/>
      <c r="B4" s="14" t="inlineStr">
        <is>
          <t>Y0 (base)</t>
        </is>
      </c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3" t="inlineStr">
        <is>
          <t>Subscribers (millions)</t>
        </is>
      </c>
    </row>
    <row r="7">
      <c r="A7" s="6" t="inlineStr">
        <is>
          <t>Mobile consumer</t>
        </is>
      </c>
      <c r="B7" s="9" t="n">
        <v>35</v>
      </c>
      <c r="C7" s="15">
        <f>B7*(1+0.02)</f>
        <v/>
      </c>
      <c r="D7" s="15">
        <f>C7*(1+0.02)</f>
        <v/>
      </c>
      <c r="E7" s="15">
        <f>D7*(1+0.02)</f>
        <v/>
      </c>
      <c r="F7" s="15">
        <f>E7*(1+0.02)</f>
        <v/>
      </c>
      <c r="G7" s="15">
        <f>F7*(1+0.02)</f>
        <v/>
      </c>
    </row>
    <row r="8">
      <c r="A8" s="6" t="inlineStr">
        <is>
          <t>Fixed broadband</t>
        </is>
      </c>
      <c r="B8" s="9" t="n">
        <v>1.5</v>
      </c>
      <c r="C8" s="15">
        <f>B8*(1+0.04)</f>
        <v/>
      </c>
      <c r="D8" s="15">
        <f>C8*(1+0.04)</f>
        <v/>
      </c>
      <c r="E8" s="15">
        <f>D8*(1+0.04)</f>
        <v/>
      </c>
      <c r="F8" s="15">
        <f>E8*(1+0.04)</f>
        <v/>
      </c>
      <c r="G8" s="15">
        <f>F8*(1+0.04)</f>
        <v/>
      </c>
    </row>
    <row r="9">
      <c r="A9" s="6" t="inlineStr">
        <is>
          <t>B2B connections</t>
        </is>
      </c>
      <c r="B9" s="9" t="n">
        <v>0.5</v>
      </c>
      <c r="C9" s="15">
        <f>B9*(1+0.06)</f>
        <v/>
      </c>
      <c r="D9" s="15">
        <f>C9*(1+0.06)</f>
        <v/>
      </c>
      <c r="E9" s="15">
        <f>D9*(1+0.06)</f>
        <v/>
      </c>
      <c r="F9" s="15">
        <f>E9*(1+0.06)</f>
        <v/>
      </c>
      <c r="G9" s="15">
        <f>F9*(1+0.06)</f>
        <v/>
      </c>
    </row>
    <row r="11">
      <c r="A11" s="3" t="inlineStr">
        <is>
          <t>ARPU (SAR / month)</t>
        </is>
      </c>
    </row>
    <row r="12">
      <c r="A12" s="6" t="inlineStr">
        <is>
          <t>Mobile consumer</t>
        </is>
      </c>
      <c r="B12" s="12" t="n">
        <v>80</v>
      </c>
      <c r="C12" s="16">
        <f>B12*(1+0.03)</f>
        <v/>
      </c>
      <c r="D12" s="16">
        <f>C12*(1+0.03)</f>
        <v/>
      </c>
      <c r="E12" s="16">
        <f>D12*(1+0.03)</f>
        <v/>
      </c>
      <c r="F12" s="16">
        <f>E12*(1+0.03)</f>
        <v/>
      </c>
      <c r="G12" s="16">
        <f>F12*(1+0.03)</f>
        <v/>
      </c>
    </row>
    <row r="13">
      <c r="A13" s="6" t="inlineStr">
        <is>
          <t>Fixed broadband</t>
        </is>
      </c>
      <c r="B13" s="12" t="n">
        <v>400</v>
      </c>
      <c r="C13" s="16">
        <f>B13*(1+0.02)</f>
        <v/>
      </c>
      <c r="D13" s="16">
        <f>C13*(1+0.02)</f>
        <v/>
      </c>
      <c r="E13" s="16">
        <f>D13*(1+0.02)</f>
        <v/>
      </c>
      <c r="F13" s="16">
        <f>E13*(1+0.02)</f>
        <v/>
      </c>
      <c r="G13" s="16">
        <f>F13*(1+0.02)</f>
        <v/>
      </c>
    </row>
    <row r="14">
      <c r="A14" s="6" t="inlineStr">
        <is>
          <t>B2B connections</t>
        </is>
      </c>
      <c r="B14" s="12" t="n">
        <v>3000</v>
      </c>
      <c r="C14" s="16">
        <f>B14*(1+0.04)</f>
        <v/>
      </c>
      <c r="D14" s="16">
        <f>C14*(1+0.04)</f>
        <v/>
      </c>
      <c r="E14" s="16">
        <f>D14*(1+0.04)</f>
        <v/>
      </c>
      <c r="F14" s="16">
        <f>E14*(1+0.04)</f>
        <v/>
      </c>
      <c r="G14" s="16">
        <f>F14*(1+0.04)</f>
        <v/>
      </c>
    </row>
    <row r="16">
      <c r="A16" s="3" t="inlineStr">
        <is>
          <t>Implied revenue (SAR bn)</t>
        </is>
      </c>
    </row>
    <row r="17">
      <c r="A17" s="6" t="inlineStr">
        <is>
          <t>Mobile consumer</t>
        </is>
      </c>
      <c r="B17" s="15">
        <f>B7*B12*12/1000</f>
        <v/>
      </c>
      <c r="C17" s="15">
        <f>C7*C12*12/1000</f>
        <v/>
      </c>
      <c r="D17" s="15">
        <f>D7*D12*12/1000</f>
        <v/>
      </c>
      <c r="E17" s="15">
        <f>E7*E12*12/1000</f>
        <v/>
      </c>
      <c r="F17" s="15">
        <f>F7*F12*12/1000</f>
        <v/>
      </c>
      <c r="G17" s="15">
        <f>G7*G12*12/1000</f>
        <v/>
      </c>
    </row>
    <row r="18">
      <c r="A18" s="6" t="inlineStr">
        <is>
          <t>Fixed broadband</t>
        </is>
      </c>
      <c r="B18" s="15">
        <f>B8*B13*12/1000</f>
        <v/>
      </c>
      <c r="C18" s="15">
        <f>C8*C13*12/1000</f>
        <v/>
      </c>
      <c r="D18" s="15">
        <f>D8*D13*12/1000</f>
        <v/>
      </c>
      <c r="E18" s="15">
        <f>E8*E13*12/1000</f>
        <v/>
      </c>
      <c r="F18" s="15">
        <f>F8*F13*12/1000</f>
        <v/>
      </c>
      <c r="G18" s="15">
        <f>G8*G13*12/1000</f>
        <v/>
      </c>
    </row>
    <row r="19">
      <c r="A19" s="6" t="inlineStr">
        <is>
          <t>B2B connections</t>
        </is>
      </c>
      <c r="B19" s="15">
        <f>B9*B14*12/1000</f>
        <v/>
      </c>
      <c r="C19" s="15">
        <f>C9*C14*12/1000</f>
        <v/>
      </c>
      <c r="D19" s="15">
        <f>D9*D14*12/1000</f>
        <v/>
      </c>
      <c r="E19" s="15">
        <f>E9*E14*12/1000</f>
        <v/>
      </c>
      <c r="F19" s="15">
        <f>F9*F14*12/1000</f>
        <v/>
      </c>
      <c r="G19" s="15">
        <f>G9*G14*12/1000</f>
        <v/>
      </c>
    </row>
    <row r="20">
      <c r="A20" s="17" t="inlineStr">
        <is>
          <t>Subs-driven revenue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</row>
    <row r="22">
      <c r="A22" s="3" t="inlineStr">
        <is>
          <t>Other revenue (residual)</t>
        </is>
      </c>
    </row>
    <row r="23">
      <c r="A23" s="6" t="inlineStr">
        <is>
          <t>ICT / cloud / wholesale (plug)</t>
        </is>
      </c>
      <c r="B23" s="15">
        <f>Assumptions!$B$5-B20</f>
        <v/>
      </c>
      <c r="C23" s="15">
        <f>Assumptions!$B$5*(1+Assumptions!$B$6)^1-C20</f>
        <v/>
      </c>
      <c r="D23" s="15">
        <f>Assumptions!$B$5*(1+Assumptions!$B$6)^2-D20</f>
        <v/>
      </c>
      <c r="E23" s="15">
        <f>Assumptions!$B$5*(1+Assumptions!$B$6)^3-E20</f>
        <v/>
      </c>
      <c r="F23" s="15">
        <f>Assumptions!$B$5*(1+Assumptions!$B$6)^4-F20</f>
        <v/>
      </c>
      <c r="G23" s="15">
        <f>Assumptions!$B$5*(1+Assumptions!$B$6)^5-G20</f>
        <v/>
      </c>
    </row>
    <row r="25">
      <c r="A25" s="17" t="inlineStr">
        <is>
          <t>TOTAL SERVICE REVENUE</t>
        </is>
      </c>
      <c r="B25" s="18">
        <f>B20+B23</f>
        <v/>
      </c>
      <c r="C25" s="18">
        <f>C20+C23</f>
        <v/>
      </c>
      <c r="D25" s="18">
        <f>D20+D23</f>
        <v/>
      </c>
      <c r="E25" s="18">
        <f>E20+E23</f>
        <v/>
      </c>
      <c r="F25" s="18">
        <f>F20+F23</f>
        <v/>
      </c>
      <c r="G25" s="18">
        <f>G20+G23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DEBT SCHEDULE</t>
        </is>
      </c>
    </row>
    <row r="2">
      <c r="A2" s="2" t="inlineStr">
        <is>
          <t>Total debt = ST + LT + lease liabilities. Held flat unless overridden (simplification).</t>
        </is>
      </c>
    </row>
    <row r="4">
      <c r="A4" s="13" t="n"/>
      <c r="B4" s="14" t="inlineStr">
        <is>
          <t>Y0 (base)</t>
        </is>
      </c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6" t="inlineStr">
        <is>
          <t>Short-term debt</t>
        </is>
      </c>
      <c r="B6" s="15">
        <f>Assumptions!$B$48</f>
        <v/>
      </c>
      <c r="C6" s="15">
        <f>B6</f>
        <v/>
      </c>
      <c r="D6" s="15">
        <f>C6</f>
        <v/>
      </c>
      <c r="E6" s="15">
        <f>D6</f>
        <v/>
      </c>
      <c r="F6" s="15">
        <f>E6</f>
        <v/>
      </c>
      <c r="G6" s="15">
        <f>F6</f>
        <v/>
      </c>
    </row>
    <row r="7">
      <c r="A7" s="6" t="inlineStr">
        <is>
          <t>Long-term debt</t>
        </is>
      </c>
      <c r="B7" s="15">
        <f>Assumptions!$B$49</f>
        <v/>
      </c>
      <c r="C7" s="15">
        <f>B7</f>
        <v/>
      </c>
      <c r="D7" s="15">
        <f>C7</f>
        <v/>
      </c>
      <c r="E7" s="15">
        <f>D7</f>
        <v/>
      </c>
      <c r="F7" s="15">
        <f>E7</f>
        <v/>
      </c>
      <c r="G7" s="15">
        <f>F7</f>
        <v/>
      </c>
    </row>
    <row r="8">
      <c r="A8" s="6" t="inlineStr">
        <is>
          <t>Lease liabilities (IFRS 16)</t>
        </is>
      </c>
      <c r="B8" s="15">
        <f>Assumptions!$B$50</f>
        <v/>
      </c>
      <c r="C8" s="15">
        <f>B8</f>
        <v/>
      </c>
      <c r="D8" s="15">
        <f>C8</f>
        <v/>
      </c>
      <c r="E8" s="15">
        <f>D8</f>
        <v/>
      </c>
      <c r="F8" s="15">
        <f>E8</f>
        <v/>
      </c>
      <c r="G8" s="15">
        <f>F8</f>
        <v/>
      </c>
    </row>
    <row r="10">
      <c r="A10" s="17" t="inlineStr">
        <is>
          <t>Gross debt (total)</t>
        </is>
      </c>
      <c r="B10" s="18">
        <f>B6+B7+B8</f>
        <v/>
      </c>
      <c r="C10" s="18">
        <f>C6+C7+C8</f>
        <v/>
      </c>
      <c r="D10" s="18">
        <f>D6+D7+D8</f>
        <v/>
      </c>
      <c r="E10" s="18">
        <f>E6+E7+E8</f>
        <v/>
      </c>
      <c r="F10" s="18">
        <f>F6+F7+F8</f>
        <v/>
      </c>
      <c r="G10" s="18">
        <f>G6+G7+G8</f>
        <v/>
      </c>
    </row>
    <row r="12">
      <c r="A12" s="6" t="inlineStr">
        <is>
          <t>Less: cash (from BS)</t>
        </is>
      </c>
      <c r="B12" s="15">
        <f>-Assumptions!$B$35</f>
        <v/>
      </c>
      <c r="C12" s="15">
        <f>-BS!C7</f>
        <v/>
      </c>
      <c r="D12" s="15">
        <f>-BS!D7</f>
        <v/>
      </c>
      <c r="E12" s="15">
        <f>-BS!E7</f>
        <v/>
      </c>
      <c r="F12" s="15">
        <f>-BS!F7</f>
        <v/>
      </c>
      <c r="G12" s="15">
        <f>-BS!G7</f>
        <v/>
      </c>
    </row>
    <row r="14">
      <c r="A14" s="17" t="inlineStr">
        <is>
          <t>Net debt</t>
        </is>
      </c>
      <c r="B14" s="18">
        <f>B10+B12</f>
        <v/>
      </c>
      <c r="C14" s="18">
        <f>C10+C12</f>
        <v/>
      </c>
      <c r="D14" s="18">
        <f>D10+D12</f>
        <v/>
      </c>
      <c r="E14" s="18">
        <f>E10+E12</f>
        <v/>
      </c>
      <c r="F14" s="18">
        <f>F10+F12</f>
        <v/>
      </c>
      <c r="G14" s="18">
        <f>G10+G12</f>
        <v/>
      </c>
    </row>
    <row r="16">
      <c r="A16" s="6" t="inlineStr">
        <is>
          <t>Interest expense (= kd × opening gross debt)</t>
        </is>
      </c>
      <c r="C16" s="15">
        <f>Assumptions!$B$23*B10</f>
        <v/>
      </c>
      <c r="D16" s="15">
        <f>Assumptions!$B$23*C10</f>
        <v/>
      </c>
      <c r="E16" s="15">
        <f>Assumptions!$B$23*D10</f>
        <v/>
      </c>
      <c r="F16" s="15">
        <f>Assumptions!$B$23*E10</f>
        <v/>
      </c>
      <c r="G16" s="15">
        <f>Assumptions!$B$23*F10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PP&amp;E ROLLFORWARD</t>
        </is>
      </c>
    </row>
    <row r="2">
      <c r="A2" s="2" t="inlineStr">
        <is>
          <t>Opening PP&amp;E + capex − depreciation = closing PP&amp;E. Net basis (no gross / accumulated split).</t>
        </is>
      </c>
    </row>
    <row r="4">
      <c r="A4" s="13" t="n"/>
      <c r="B4" s="14" t="inlineStr">
        <is>
          <t>Y0 (base)</t>
        </is>
      </c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6" t="inlineStr">
        <is>
          <t>Opening PP&amp;E</t>
        </is>
      </c>
      <c r="B6" s="19" t="inlineStr">
        <is>
          <t>""</t>
        </is>
      </c>
      <c r="C6" s="15">
        <f>Assumptions!$B$39</f>
        <v/>
      </c>
      <c r="D6" s="15">
        <f>C9</f>
        <v/>
      </c>
      <c r="E6" s="15">
        <f>D9</f>
        <v/>
      </c>
      <c r="F6" s="15">
        <f>E9</f>
        <v/>
      </c>
      <c r="G6" s="15">
        <f>F9</f>
        <v/>
      </c>
    </row>
    <row r="7">
      <c r="A7" s="6" t="inlineStr">
        <is>
          <t>+ Capex</t>
        </is>
      </c>
      <c r="C7" s="15">
        <f>Assumptions!$B$9*IS!$C$5</f>
        <v/>
      </c>
      <c r="D7" s="15">
        <f>Assumptions!$B$9*IS!$D$5</f>
        <v/>
      </c>
      <c r="E7" s="15">
        <f>Assumptions!$B$9*IS!$E$5</f>
        <v/>
      </c>
      <c r="F7" s="15">
        <f>Assumptions!$B$9*IS!$F$5</f>
        <v/>
      </c>
      <c r="G7" s="15">
        <f>Assumptions!$B$9*IS!$G$5</f>
        <v/>
      </c>
    </row>
    <row r="8">
      <c r="A8" s="6" t="inlineStr">
        <is>
          <t>− Depreciation &amp; amortisation</t>
        </is>
      </c>
      <c r="C8" s="15">
        <f>-Assumptions!$B$8*IS!$C$5</f>
        <v/>
      </c>
      <c r="D8" s="15">
        <f>-Assumptions!$B$8*IS!$D$5</f>
        <v/>
      </c>
      <c r="E8" s="15">
        <f>-Assumptions!$B$8*IS!$E$5</f>
        <v/>
      </c>
      <c r="F8" s="15">
        <f>-Assumptions!$B$8*IS!$F$5</f>
        <v/>
      </c>
      <c r="G8" s="15">
        <f>-Assumptions!$B$8*IS!$G$5</f>
        <v/>
      </c>
    </row>
    <row r="9">
      <c r="A9" s="17" t="inlineStr">
        <is>
          <t>Closing PP&amp;E</t>
        </is>
      </c>
      <c r="B9" s="18">
        <f>Assumptions!$B$39</f>
        <v/>
      </c>
      <c r="C9" s="18">
        <f>C6+C7+C8</f>
        <v/>
      </c>
      <c r="D9" s="18">
        <f>D6+D7+D8</f>
        <v/>
      </c>
      <c r="E9" s="18">
        <f>E6+E7+E8</f>
        <v/>
      </c>
      <c r="F9" s="18">
        <f>F6+F7+F8</f>
        <v/>
      </c>
      <c r="G9" s="18">
        <f>G6+G7+G8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WORKING CAPITAL SCHEDULE</t>
        </is>
      </c>
    </row>
    <row r="2">
      <c r="A2" s="2" t="inlineStr">
        <is>
          <t>AR = DSO × revenue / 365. Inventory = DIO × COGS / 365. AP = DPO × COGS / 365.</t>
        </is>
      </c>
    </row>
    <row r="4">
      <c r="A4" s="13" t="n"/>
      <c r="B4" s="14" t="inlineStr">
        <is>
          <t>Y0 (base)</t>
        </is>
      </c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3" t="inlineStr">
        <is>
          <t>Reference</t>
        </is>
      </c>
    </row>
    <row r="7">
      <c r="A7" s="6" t="inlineStr">
        <is>
          <t>Revenue</t>
        </is>
      </c>
      <c r="B7" s="15">
        <f>Assumptions!$B$5</f>
        <v/>
      </c>
      <c r="C7" s="15">
        <f>IS!$C$5</f>
        <v/>
      </c>
      <c r="D7" s="15">
        <f>IS!$D$5</f>
        <v/>
      </c>
      <c r="E7" s="15">
        <f>IS!$E$5</f>
        <v/>
      </c>
      <c r="F7" s="15">
        <f>IS!$F$5</f>
        <v/>
      </c>
      <c r="G7" s="15">
        <f>IS!$G$5</f>
        <v/>
      </c>
    </row>
    <row r="8">
      <c r="A8" s="6" t="inlineStr">
        <is>
          <t>COGS (positive)</t>
        </is>
      </c>
      <c r="B8" s="15">
        <f>Assumptions!$B$12*Assumptions!$B$5</f>
        <v/>
      </c>
      <c r="C8" s="15">
        <f>Assumptions!$B$12*IS!$C$5</f>
        <v/>
      </c>
      <c r="D8" s="15">
        <f>Assumptions!$B$12*IS!$D$5</f>
        <v/>
      </c>
      <c r="E8" s="15">
        <f>Assumptions!$B$12*IS!$E$5</f>
        <v/>
      </c>
      <c r="F8" s="15">
        <f>Assumptions!$B$12*IS!$F$5</f>
        <v/>
      </c>
      <c r="G8" s="15">
        <f>Assumptions!$B$12*IS!$G$5</f>
        <v/>
      </c>
    </row>
    <row r="10">
      <c r="A10" s="3" t="inlineStr">
        <is>
          <t>Working capital balances (closing)</t>
        </is>
      </c>
    </row>
    <row r="11">
      <c r="A11" s="6" t="inlineStr">
        <is>
          <t>Accounts receivable</t>
        </is>
      </c>
      <c r="B11" s="15">
        <f>Assumptions!$B$36</f>
        <v/>
      </c>
      <c r="C11" s="15">
        <f>Assumptions!$B$27*C7/365</f>
        <v/>
      </c>
      <c r="D11" s="15">
        <f>Assumptions!$B$27*D7/365</f>
        <v/>
      </c>
      <c r="E11" s="15">
        <f>Assumptions!$B$27*E7/365</f>
        <v/>
      </c>
      <c r="F11" s="15">
        <f>Assumptions!$B$27*F7/365</f>
        <v/>
      </c>
      <c r="G11" s="15">
        <f>Assumptions!$B$27*G7/365</f>
        <v/>
      </c>
    </row>
    <row r="12">
      <c r="A12" s="6" t="inlineStr">
        <is>
          <t>Inventory</t>
        </is>
      </c>
      <c r="B12" s="15">
        <f>Assumptions!$B$37</f>
        <v/>
      </c>
      <c r="C12" s="15">
        <f>Assumptions!$B$28*C8/365</f>
        <v/>
      </c>
      <c r="D12" s="15">
        <f>Assumptions!$B$28*D8/365</f>
        <v/>
      </c>
      <c r="E12" s="15">
        <f>Assumptions!$B$28*E8/365</f>
        <v/>
      </c>
      <c r="F12" s="15">
        <f>Assumptions!$B$28*F8/365</f>
        <v/>
      </c>
      <c r="G12" s="15">
        <f>Assumptions!$B$28*G8/365</f>
        <v/>
      </c>
    </row>
    <row r="13">
      <c r="A13" s="6" t="inlineStr">
        <is>
          <t>Accounts payable</t>
        </is>
      </c>
      <c r="B13" s="15">
        <f>Assumptions!$B$46</f>
        <v/>
      </c>
      <c r="C13" s="15">
        <f>Assumptions!$B$29*C8/365</f>
        <v/>
      </c>
      <c r="D13" s="15">
        <f>Assumptions!$B$29*D8/365</f>
        <v/>
      </c>
      <c r="E13" s="15">
        <f>Assumptions!$B$29*E8/365</f>
        <v/>
      </c>
      <c r="F13" s="15">
        <f>Assumptions!$B$29*F8/365</f>
        <v/>
      </c>
      <c r="G13" s="15">
        <f>Assumptions!$B$29*G8/365</f>
        <v/>
      </c>
    </row>
    <row r="15">
      <c r="A15" s="3" t="inlineStr">
        <is>
          <t>Working capital movements (to CFS)</t>
        </is>
      </c>
    </row>
    <row r="16">
      <c r="A16" s="6" t="inlineStr">
        <is>
          <t>ΔReceivables (incr = use of cash)</t>
        </is>
      </c>
      <c r="C16" s="15">
        <f>-(C11-B11)</f>
        <v/>
      </c>
      <c r="D16" s="15">
        <f>-(D11-C11)</f>
        <v/>
      </c>
      <c r="E16" s="15">
        <f>-(E11-D11)</f>
        <v/>
      </c>
      <c r="F16" s="15">
        <f>-(F11-E11)</f>
        <v/>
      </c>
      <c r="G16" s="15">
        <f>-(G11-F11)</f>
        <v/>
      </c>
    </row>
    <row r="17">
      <c r="A17" s="6" t="inlineStr">
        <is>
          <t>ΔInventory (incr = use of cash)</t>
        </is>
      </c>
      <c r="C17" s="15">
        <f>-(C12-B12)</f>
        <v/>
      </c>
      <c r="D17" s="15">
        <f>-(D12-C12)</f>
        <v/>
      </c>
      <c r="E17" s="15">
        <f>-(E12-D12)</f>
        <v/>
      </c>
      <c r="F17" s="15">
        <f>-(F12-E12)</f>
        <v/>
      </c>
      <c r="G17" s="15">
        <f>-(G12-F12)</f>
        <v/>
      </c>
    </row>
    <row r="18">
      <c r="A18" s="6" t="inlineStr">
        <is>
          <t>ΔPayables (incr = source of cash)</t>
        </is>
      </c>
      <c r="C18" s="15">
        <f>(C13-B13)</f>
        <v/>
      </c>
      <c r="D18" s="15">
        <f>(D13-C13)</f>
        <v/>
      </c>
      <c r="E18" s="15">
        <f>(E13-D13)</f>
        <v/>
      </c>
      <c r="F18" s="15">
        <f>(F13-E13)</f>
        <v/>
      </c>
      <c r="G18" s="15">
        <f>(G13-F13)</f>
        <v/>
      </c>
    </row>
    <row r="20">
      <c r="A20" s="17" t="inlineStr">
        <is>
          <t>Total Δ working capital</t>
        </is>
      </c>
      <c r="C20" s="18">
        <f>C16+C17+C18</f>
        <v/>
      </c>
      <c r="D20" s="18">
        <f>D16+D17+D18</f>
        <v/>
      </c>
      <c r="E20" s="18">
        <f>E16+E17+E18</f>
        <v/>
      </c>
      <c r="F20" s="18">
        <f>F16+F17+F18</f>
        <v/>
      </c>
      <c r="G20" s="18">
        <f>G16+G17+G18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TAX SCHEDULE</t>
        </is>
      </c>
    </row>
    <row r="2">
      <c r="A2" s="2" t="inlineStr">
        <is>
          <t>Simplified: current tax = max(0, pretax × effective rate). Deferred tax held flat.</t>
        </is>
      </c>
    </row>
    <row r="4">
      <c r="A4" s="13" t="n"/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6" t="inlineStr">
        <is>
          <t>Pre-tax income (from IS)</t>
        </is>
      </c>
      <c r="C6" s="15">
        <f>IS!$C$23</f>
        <v/>
      </c>
      <c r="D6" s="15">
        <f>IS!$D$23</f>
        <v/>
      </c>
      <c r="E6" s="15">
        <f>IS!$E$23</f>
        <v/>
      </c>
      <c r="F6" s="15">
        <f>IS!$F$23</f>
        <v/>
      </c>
      <c r="G6" s="15">
        <f>IS!$G$23</f>
        <v/>
      </c>
    </row>
    <row r="7">
      <c r="A7" s="6" t="inlineStr">
        <is>
          <t>Effective tax rate</t>
        </is>
      </c>
      <c r="C7" s="20">
        <f>Assumptions!$B$20</f>
        <v/>
      </c>
      <c r="D7" s="20">
        <f>Assumptions!$B$20</f>
        <v/>
      </c>
      <c r="E7" s="20">
        <f>Assumptions!$B$20</f>
        <v/>
      </c>
      <c r="F7" s="20">
        <f>Assumptions!$B$20</f>
        <v/>
      </c>
      <c r="G7" s="20">
        <f>Assumptions!$B$20</f>
        <v/>
      </c>
    </row>
    <row r="8">
      <c r="A8" s="17" t="inlineStr">
        <is>
          <t>Current tax expense</t>
        </is>
      </c>
      <c r="C8" s="18">
        <f>MAX(0,C6*C7)</f>
        <v/>
      </c>
      <c r="D8" s="18">
        <f>MAX(0,D6*D7)</f>
        <v/>
      </c>
      <c r="E8" s="18">
        <f>MAX(0,E6*E7)</f>
        <v/>
      </c>
      <c r="F8" s="18">
        <f>MAX(0,F6*F7)</f>
        <v/>
      </c>
      <c r="G8" s="18">
        <f>MAX(0,G6*G7)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INCOME STATEMENT</t>
        </is>
      </c>
    </row>
    <row r="2">
      <c r="A2" s="2" t="inlineStr">
        <is>
          <t>All figures in SAR billion. Five-year explicit forecast.</t>
        </is>
      </c>
    </row>
    <row r="4">
      <c r="A4" s="13" t="n"/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5">
      <c r="A5" s="5" t="inlineStr">
        <is>
          <t>Service revenue</t>
        </is>
      </c>
      <c r="C5" s="21">
        <f>Drivers!$C$25</f>
        <v/>
      </c>
      <c r="D5" s="21">
        <f>Drivers!$D$25</f>
        <v/>
      </c>
      <c r="E5" s="21">
        <f>Drivers!$E$25</f>
        <v/>
      </c>
      <c r="F5" s="21">
        <f>Drivers!$F$25</f>
        <v/>
      </c>
      <c r="G5" s="21">
        <f>Drivers!$G$25</f>
        <v/>
      </c>
    </row>
    <row r="7">
      <c r="A7" s="6" t="inlineStr">
        <is>
          <t>Cost lines (% of revenue)</t>
        </is>
      </c>
    </row>
    <row r="8">
      <c r="A8" s="6" t="inlineStr">
        <is>
          <t xml:space="preserve">  COGS / interconnect / content</t>
        </is>
      </c>
      <c r="C8" s="15">
        <f>-Assumptions!$B$12*C5</f>
        <v/>
      </c>
      <c r="D8" s="15">
        <f>-Assumptions!$B$12*D5</f>
        <v/>
      </c>
      <c r="E8" s="15">
        <f>-Assumptions!$B$12*E5</f>
        <v/>
      </c>
      <c r="F8" s="15">
        <f>-Assumptions!$B$12*F5</f>
        <v/>
      </c>
      <c r="G8" s="15">
        <f>-Assumptions!$B$12*G5</f>
        <v/>
      </c>
    </row>
    <row r="9">
      <c r="A9" s="6" t="inlineStr">
        <is>
          <t xml:space="preserve">  Network operating costs</t>
        </is>
      </c>
      <c r="C9" s="15">
        <f>-Assumptions!$B$13*C5</f>
        <v/>
      </c>
      <c r="D9" s="15">
        <f>-Assumptions!$B$13*D5</f>
        <v/>
      </c>
      <c r="E9" s="15">
        <f>-Assumptions!$B$13*E5</f>
        <v/>
      </c>
      <c r="F9" s="15">
        <f>-Assumptions!$B$13*F5</f>
        <v/>
      </c>
      <c r="G9" s="15">
        <f>-Assumptions!$B$13*G5</f>
        <v/>
      </c>
    </row>
    <row r="10">
      <c r="A10" s="6" t="inlineStr">
        <is>
          <t xml:space="preserve">  Employee costs</t>
        </is>
      </c>
      <c r="C10" s="15">
        <f>-Assumptions!$B$14*C5</f>
        <v/>
      </c>
      <c r="D10" s="15">
        <f>-Assumptions!$B$14*D5</f>
        <v/>
      </c>
      <c r="E10" s="15">
        <f>-Assumptions!$B$14*E5</f>
        <v/>
      </c>
      <c r="F10" s="15">
        <f>-Assumptions!$B$14*F5</f>
        <v/>
      </c>
      <c r="G10" s="15">
        <f>-Assumptions!$B$14*G5</f>
        <v/>
      </c>
    </row>
    <row r="11">
      <c r="A11" s="6" t="inlineStr">
        <is>
          <t xml:space="preserve">  Customer acquisition / commercial</t>
        </is>
      </c>
      <c r="C11" s="15">
        <f>-Assumptions!$B$15*C5</f>
        <v/>
      </c>
      <c r="D11" s="15">
        <f>-Assumptions!$B$15*D5</f>
        <v/>
      </c>
      <c r="E11" s="15">
        <f>-Assumptions!$B$15*E5</f>
        <v/>
      </c>
      <c r="F11" s="15">
        <f>-Assumptions!$B$15*F5</f>
        <v/>
      </c>
      <c r="G11" s="15">
        <f>-Assumptions!$B$15*G5</f>
        <v/>
      </c>
    </row>
    <row r="12">
      <c r="A12" s="6" t="inlineStr">
        <is>
          <t xml:space="preserve">  Other opex / G&amp;A</t>
        </is>
      </c>
      <c r="C12" s="15">
        <f>-Assumptions!$B$16*C5</f>
        <v/>
      </c>
      <c r="D12" s="15">
        <f>-Assumptions!$B$16*D5</f>
        <v/>
      </c>
      <c r="E12" s="15">
        <f>-Assumptions!$B$16*E5</f>
        <v/>
      </c>
      <c r="F12" s="15">
        <f>-Assumptions!$B$16*F5</f>
        <v/>
      </c>
      <c r="G12" s="15">
        <f>-Assumptions!$B$16*G5</f>
        <v/>
      </c>
    </row>
    <row r="14">
      <c r="A14" s="17" t="inlineStr">
        <is>
          <t>EBITDA</t>
        </is>
      </c>
      <c r="C14" s="18">
        <f>C5+C8+C9+C10+C11+C12</f>
        <v/>
      </c>
      <c r="D14" s="18">
        <f>D5+D8+D9+D10+D11+D12</f>
        <v/>
      </c>
      <c r="E14" s="18">
        <f>E5+E8+E9+E10+E11+E12</f>
        <v/>
      </c>
      <c r="F14" s="18">
        <f>F5+F8+F9+F10+F11+F12</f>
        <v/>
      </c>
      <c r="G14" s="18">
        <f>G5+G8+G9+G10+G11+G12</f>
        <v/>
      </c>
    </row>
    <row r="16">
      <c r="A16" s="6" t="inlineStr">
        <is>
          <t>Depreciation &amp; amortisation</t>
        </is>
      </c>
      <c r="C16" s="15">
        <f>PPE!$C$8</f>
        <v/>
      </c>
      <c r="D16" s="15">
        <f>PPE!$D$8</f>
        <v/>
      </c>
      <c r="E16" s="15">
        <f>PPE!$E$8</f>
        <v/>
      </c>
      <c r="F16" s="15">
        <f>PPE!$F$8</f>
        <v/>
      </c>
      <c r="G16" s="15">
        <f>PPE!$G$8</f>
        <v/>
      </c>
    </row>
    <row r="18">
      <c r="A18" s="17" t="inlineStr">
        <is>
          <t>EBIT (operating profit)</t>
        </is>
      </c>
      <c r="C18" s="18">
        <f>C14+C16</f>
        <v/>
      </c>
      <c r="D18" s="18">
        <f>D14+D16</f>
        <v/>
      </c>
      <c r="E18" s="18">
        <f>E14+E16</f>
        <v/>
      </c>
      <c r="F18" s="18">
        <f>F14+F16</f>
        <v/>
      </c>
      <c r="G18" s="18">
        <f>G14+G16</f>
        <v/>
      </c>
    </row>
    <row r="20">
      <c r="A20" s="6" t="inlineStr">
        <is>
          <t>Finance income</t>
        </is>
      </c>
      <c r="C20" s="15">
        <f>Assumptions!$B$17*C5</f>
        <v/>
      </c>
      <c r="D20" s="15">
        <f>Assumptions!$B$17*D5</f>
        <v/>
      </c>
      <c r="E20" s="15">
        <f>Assumptions!$B$17*E5</f>
        <v/>
      </c>
      <c r="F20" s="15">
        <f>Assumptions!$B$17*F5</f>
        <v/>
      </c>
      <c r="G20" s="15">
        <f>Assumptions!$B$17*G5</f>
        <v/>
      </c>
    </row>
    <row r="21">
      <c r="A21" s="6" t="inlineStr">
        <is>
          <t>Interest expense</t>
        </is>
      </c>
      <c r="C21" s="15">
        <f>-Debt!$C$16</f>
        <v/>
      </c>
      <c r="D21" s="15">
        <f>-Debt!$D$16</f>
        <v/>
      </c>
      <c r="E21" s="15">
        <f>-Debt!$E$16</f>
        <v/>
      </c>
      <c r="F21" s="15">
        <f>-Debt!$F$16</f>
        <v/>
      </c>
      <c r="G21" s="15">
        <f>-Debt!$G$16</f>
        <v/>
      </c>
    </row>
    <row r="23">
      <c r="A23" s="5" t="inlineStr">
        <is>
          <t>Pre-tax income</t>
        </is>
      </c>
      <c r="C23" s="21">
        <f>C18+C20+C21</f>
        <v/>
      </c>
      <c r="D23" s="21">
        <f>D18+D20+D21</f>
        <v/>
      </c>
      <c r="E23" s="21">
        <f>E18+E20+E21</f>
        <v/>
      </c>
      <c r="F23" s="21">
        <f>F18+F20+F21</f>
        <v/>
      </c>
      <c r="G23" s="21">
        <f>G18+G20+G21</f>
        <v/>
      </c>
    </row>
    <row r="24">
      <c r="A24" s="6" t="inlineStr">
        <is>
          <t>Income tax</t>
        </is>
      </c>
      <c r="C24" s="15">
        <f>-Tax!$C$8</f>
        <v/>
      </c>
      <c r="D24" s="15">
        <f>-Tax!$D$8</f>
        <v/>
      </c>
      <c r="E24" s="15">
        <f>-Tax!$E$8</f>
        <v/>
      </c>
      <c r="F24" s="15">
        <f>-Tax!$F$8</f>
        <v/>
      </c>
      <c r="G24" s="15">
        <f>-Tax!$G$8</f>
        <v/>
      </c>
    </row>
    <row r="26">
      <c r="A26" s="17" t="inlineStr">
        <is>
          <t>NET INCOME</t>
        </is>
      </c>
      <c r="C26" s="18">
        <f>C23+C24</f>
        <v/>
      </c>
      <c r="D26" s="18">
        <f>D23+D24</f>
        <v/>
      </c>
      <c r="E26" s="18">
        <f>E23+E24</f>
        <v/>
      </c>
      <c r="F26" s="18">
        <f>F23+F24</f>
        <v/>
      </c>
      <c r="G26" s="18">
        <f>G23+G24</f>
        <v/>
      </c>
    </row>
    <row r="28">
      <c r="A28" s="3" t="inlineStr">
        <is>
          <t>MEMO</t>
        </is>
      </c>
    </row>
    <row r="29">
      <c r="A29" s="6" t="inlineStr">
        <is>
          <t>EBITDA margin</t>
        </is>
      </c>
      <c r="C29" s="20">
        <f>C14/C5</f>
        <v/>
      </c>
      <c r="D29" s="20">
        <f>D14/D5</f>
        <v/>
      </c>
      <c r="E29" s="20">
        <f>E14/E5</f>
        <v/>
      </c>
      <c r="F29" s="20">
        <f>F14/F5</f>
        <v/>
      </c>
      <c r="G29" s="20">
        <f>G14/G5</f>
        <v/>
      </c>
    </row>
    <row r="30">
      <c r="A30" s="6" t="inlineStr">
        <is>
          <t>EBIT margin</t>
        </is>
      </c>
      <c r="C30" s="20">
        <f>C18/C5</f>
        <v/>
      </c>
      <c r="D30" s="20">
        <f>D18/D5</f>
        <v/>
      </c>
      <c r="E30" s="20">
        <f>E18/E5</f>
        <v/>
      </c>
      <c r="F30" s="20">
        <f>F18/F5</f>
        <v/>
      </c>
      <c r="G30" s="20">
        <f>G18/G5</f>
        <v/>
      </c>
    </row>
    <row r="31">
      <c r="A31" s="6" t="inlineStr">
        <is>
          <t>Net margin</t>
        </is>
      </c>
      <c r="C31" s="20">
        <f>C26/C5</f>
        <v/>
      </c>
      <c r="D31" s="20">
        <f>D26/D5</f>
        <v/>
      </c>
      <c r="E31" s="20">
        <f>E26/E5</f>
        <v/>
      </c>
      <c r="F31" s="20">
        <f>F26/F5</f>
        <v/>
      </c>
      <c r="G31" s="20">
        <f>G26/G5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EQUITY ROLLFORWARD</t>
        </is>
      </c>
    </row>
    <row r="2">
      <c r="A2" s="2" t="inlineStr">
        <is>
          <t>Closing equity = opening + net income − dividends + OCI movements. Drives BS equity section.</t>
        </is>
      </c>
    </row>
    <row r="4">
      <c r="A4" s="13" t="n"/>
      <c r="B4" s="14" t="inlineStr">
        <is>
          <t>Y0 (base)</t>
        </is>
      </c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6" t="inlineStr">
        <is>
          <t>Share capital</t>
        </is>
      </c>
      <c r="B6" s="15">
        <f>Assumptions!$B$56</f>
        <v/>
      </c>
      <c r="C6" s="15">
        <f>B6</f>
        <v/>
      </c>
      <c r="D6" s="15">
        <f>C6</f>
        <v/>
      </c>
      <c r="E6" s="15">
        <f>D6</f>
        <v/>
      </c>
      <c r="F6" s="15">
        <f>E6</f>
        <v/>
      </c>
      <c r="G6" s="15">
        <f>F6</f>
        <v/>
      </c>
    </row>
    <row r="7">
      <c r="A7" s="6" t="inlineStr">
        <is>
          <t>Opening retained earnings</t>
        </is>
      </c>
      <c r="B7" s="19" t="inlineStr">
        <is>
          <t>""</t>
        </is>
      </c>
      <c r="C7" s="15">
        <f>Assumptions!$B$57</f>
        <v/>
      </c>
      <c r="D7" s="15">
        <f>C10</f>
        <v/>
      </c>
      <c r="E7" s="15">
        <f>D10</f>
        <v/>
      </c>
      <c r="F7" s="15">
        <f>E10</f>
        <v/>
      </c>
      <c r="G7" s="15">
        <f>F10</f>
        <v/>
      </c>
    </row>
    <row r="8">
      <c r="A8" s="6" t="inlineStr">
        <is>
          <t>+ Net income for period</t>
        </is>
      </c>
      <c r="B8" s="19" t="inlineStr">
        <is>
          <t>""</t>
        </is>
      </c>
      <c r="C8" s="15">
        <f>IS!$C$26</f>
        <v/>
      </c>
      <c r="D8" s="15">
        <f>IS!$D$26</f>
        <v/>
      </c>
      <c r="E8" s="15">
        <f>IS!$E$26</f>
        <v/>
      </c>
      <c r="F8" s="15">
        <f>IS!$F$26</f>
        <v/>
      </c>
      <c r="G8" s="15">
        <f>IS!$G$26</f>
        <v/>
      </c>
    </row>
    <row r="9">
      <c r="A9" s="6" t="inlineStr">
        <is>
          <t>− Dividends paid</t>
        </is>
      </c>
      <c r="B9" s="19" t="inlineStr">
        <is>
          <t>""</t>
        </is>
      </c>
      <c r="C9" s="15">
        <f>-Assumptions!$B$24*IS!$C$26</f>
        <v/>
      </c>
      <c r="D9" s="15">
        <f>-Assumptions!$B$24*IS!$D$26</f>
        <v/>
      </c>
      <c r="E9" s="15">
        <f>-Assumptions!$B$24*IS!$E$26</f>
        <v/>
      </c>
      <c r="F9" s="15">
        <f>-Assumptions!$B$24*IS!$F$26</f>
        <v/>
      </c>
      <c r="G9" s="15">
        <f>-Assumptions!$B$24*IS!$G$26</f>
        <v/>
      </c>
    </row>
    <row r="10">
      <c r="A10" s="17" t="inlineStr">
        <is>
          <t>Closing retained earnings</t>
        </is>
      </c>
      <c r="B10" s="18">
        <f>Assumptions!$B$57</f>
        <v/>
      </c>
      <c r="C10" s="18">
        <f>C7+C8+C9</f>
        <v/>
      </c>
      <c r="D10" s="18">
        <f>D7+D8+D9</f>
        <v/>
      </c>
      <c r="E10" s="18">
        <f>E7+E8+E9</f>
        <v/>
      </c>
      <c r="F10" s="18">
        <f>F7+F8+F9</f>
        <v/>
      </c>
      <c r="G10" s="18">
        <f>G7+G8+G9</f>
        <v/>
      </c>
    </row>
    <row r="12">
      <c r="A12" s="6" t="inlineStr">
        <is>
          <t>OCI reserve (held flat)</t>
        </is>
      </c>
      <c r="B12" s="15">
        <f>Assumptions!$B$58</f>
        <v/>
      </c>
      <c r="C12" s="15">
        <f>B12</f>
        <v/>
      </c>
      <c r="D12" s="15">
        <f>C12</f>
        <v/>
      </c>
      <c r="E12" s="15">
        <f>D12</f>
        <v/>
      </c>
      <c r="F12" s="15">
        <f>E12</f>
        <v/>
      </c>
      <c r="G12" s="15">
        <f>F12</f>
        <v/>
      </c>
    </row>
    <row r="13">
      <c r="A13" s="6" t="inlineStr">
        <is>
          <t>Minority interest (held flat)</t>
        </is>
      </c>
      <c r="B13" s="15">
        <f>Assumptions!$B$59</f>
        <v/>
      </c>
      <c r="C13" s="15">
        <f>B13</f>
        <v/>
      </c>
      <c r="D13" s="15">
        <f>C13</f>
        <v/>
      </c>
      <c r="E13" s="15">
        <f>D13</f>
        <v/>
      </c>
      <c r="F13" s="15">
        <f>E13</f>
        <v/>
      </c>
      <c r="G13" s="15">
        <f>F13</f>
        <v/>
      </c>
    </row>
    <row r="15">
      <c r="A15" s="17" t="inlineStr">
        <is>
          <t>TOTAL EQUITY</t>
        </is>
      </c>
      <c r="B15" s="18">
        <f>B6+B10+B12+B13</f>
        <v/>
      </c>
      <c r="C15" s="18">
        <f>C6+C10+C12+C13</f>
        <v/>
      </c>
      <c r="D15" s="18">
        <f>D6+D10+D12+D13</f>
        <v/>
      </c>
      <c r="E15" s="18">
        <f>E6+E10+E12+E13</f>
        <v/>
      </c>
      <c r="F15" s="18">
        <f>F6+F10+F12+F13</f>
        <v/>
      </c>
      <c r="G15" s="18">
        <f>G6+G10+G12+G13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BALANCE SHEET</t>
        </is>
      </c>
    </row>
    <row r="2">
      <c r="A2" s="2" t="inlineStr">
        <is>
          <t>All figures in SAR billion. Y0 opening + Y1-Y5 forecast. Must balance (see Checks).</t>
        </is>
      </c>
    </row>
    <row r="4">
      <c r="A4" s="13" t="n"/>
      <c r="B4" s="14" t="inlineStr">
        <is>
          <t>Y0 (base)</t>
        </is>
      </c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3" t="inlineStr">
        <is>
          <t>ASSETS</t>
        </is>
      </c>
    </row>
    <row r="7">
      <c r="A7" s="6" t="inlineStr">
        <is>
          <t>Cash &amp; equivalents</t>
        </is>
      </c>
      <c r="B7" s="15">
        <f>Assumptions!$B$35</f>
        <v/>
      </c>
      <c r="C7" s="15">
        <f>B7+CFS!C22</f>
        <v/>
      </c>
      <c r="D7" s="15">
        <f>C7+CFS!D22</f>
        <v/>
      </c>
      <c r="E7" s="15">
        <f>D7+CFS!E22</f>
        <v/>
      </c>
      <c r="F7" s="15">
        <f>E7+CFS!F22</f>
        <v/>
      </c>
      <c r="G7" s="15">
        <f>F7+CFS!G22</f>
        <v/>
      </c>
    </row>
    <row r="8">
      <c r="A8" s="6" t="inlineStr">
        <is>
          <t>Accounts receivable</t>
        </is>
      </c>
      <c r="B8" s="15">
        <f>Assumptions!$B$36</f>
        <v/>
      </c>
      <c r="C8" s="15">
        <f>WC!$C$11</f>
        <v/>
      </c>
      <c r="D8" s="15">
        <f>WC!$D$11</f>
        <v/>
      </c>
      <c r="E8" s="15">
        <f>WC!$E$11</f>
        <v/>
      </c>
      <c r="F8" s="15">
        <f>WC!$F$11</f>
        <v/>
      </c>
      <c r="G8" s="15">
        <f>WC!$G$11</f>
        <v/>
      </c>
    </row>
    <row r="9">
      <c r="A9" s="6" t="inlineStr">
        <is>
          <t>Inventory</t>
        </is>
      </c>
      <c r="B9" s="15">
        <f>Assumptions!$B$37</f>
        <v/>
      </c>
      <c r="C9" s="15">
        <f>WC!$C$12</f>
        <v/>
      </c>
      <c r="D9" s="15">
        <f>WC!$D$12</f>
        <v/>
      </c>
      <c r="E9" s="15">
        <f>WC!$E$12</f>
        <v/>
      </c>
      <c r="F9" s="15">
        <f>WC!$F$12</f>
        <v/>
      </c>
      <c r="G9" s="15">
        <f>WC!$G$12</f>
        <v/>
      </c>
    </row>
    <row r="10">
      <c r="A10" s="6" t="inlineStr">
        <is>
          <t>Other current assets (flat)</t>
        </is>
      </c>
      <c r="B10" s="15">
        <f>Assumptions!$B$38</f>
        <v/>
      </c>
      <c r="C10" s="15">
        <f>B10</f>
        <v/>
      </c>
      <c r="D10" s="15">
        <f>C10</f>
        <v/>
      </c>
      <c r="E10" s="15">
        <f>D10</f>
        <v/>
      </c>
      <c r="F10" s="15">
        <f>E10</f>
        <v/>
      </c>
      <c r="G10" s="15">
        <f>F10</f>
        <v/>
      </c>
    </row>
    <row r="11">
      <c r="A11" s="5" t="inlineStr">
        <is>
          <t>Total current assets</t>
        </is>
      </c>
      <c r="B11" s="21">
        <f>B7+B8+B9+B10</f>
        <v/>
      </c>
      <c r="C11" s="21">
        <f>C7+C8+C9+C10</f>
        <v/>
      </c>
      <c r="D11" s="21">
        <f>D7+D8+D9+D10</f>
        <v/>
      </c>
      <c r="E11" s="21">
        <f>E7+E8+E9+E10</f>
        <v/>
      </c>
      <c r="F11" s="21">
        <f>F7+F8+F9+F10</f>
        <v/>
      </c>
      <c r="G11" s="21">
        <f>G7+G8+G9+G10</f>
        <v/>
      </c>
    </row>
    <row r="13">
      <c r="A13" s="6" t="inlineStr">
        <is>
          <t>PP&amp;E</t>
        </is>
      </c>
      <c r="B13" s="15">
        <f>Assumptions!$B$39</f>
        <v/>
      </c>
      <c r="C13" s="15">
        <f>PPE!$C$9</f>
        <v/>
      </c>
      <c r="D13" s="15">
        <f>PPE!$D$9</f>
        <v/>
      </c>
      <c r="E13" s="15">
        <f>PPE!$E$9</f>
        <v/>
      </c>
      <c r="F13" s="15">
        <f>PPE!$F$9</f>
        <v/>
      </c>
      <c r="G13" s="15">
        <f>PPE!$G$9</f>
        <v/>
      </c>
    </row>
    <row r="14">
      <c r="A14" s="6" t="inlineStr">
        <is>
          <t>Goodwill (flat)</t>
        </is>
      </c>
      <c r="B14" s="15">
        <f>Assumptions!$B$40</f>
        <v/>
      </c>
      <c r="C14" s="15">
        <f>B14</f>
        <v/>
      </c>
      <c r="D14" s="15">
        <f>C14</f>
        <v/>
      </c>
      <c r="E14" s="15">
        <f>D14</f>
        <v/>
      </c>
      <c r="F14" s="15">
        <f>E14</f>
        <v/>
      </c>
      <c r="G14" s="15">
        <f>F14</f>
        <v/>
      </c>
    </row>
    <row r="15">
      <c r="A15" s="6" t="inlineStr">
        <is>
          <t>Intangibles (flat)</t>
        </is>
      </c>
      <c r="B15" s="15">
        <f>Assumptions!$B$41</f>
        <v/>
      </c>
      <c r="C15" s="15">
        <f>B15</f>
        <v/>
      </c>
      <c r="D15" s="15">
        <f>C15</f>
        <v/>
      </c>
      <c r="E15" s="15">
        <f>D15</f>
        <v/>
      </c>
      <c r="F15" s="15">
        <f>E15</f>
        <v/>
      </c>
      <c r="G15" s="15">
        <f>F15</f>
        <v/>
      </c>
    </row>
    <row r="16">
      <c r="A16" s="6" t="inlineStr">
        <is>
          <t>Investments / associates (flat)</t>
        </is>
      </c>
      <c r="B16" s="15">
        <f>Assumptions!$B$42</f>
        <v/>
      </c>
      <c r="C16" s="15">
        <f>B16</f>
        <v/>
      </c>
      <c r="D16" s="15">
        <f>C16</f>
        <v/>
      </c>
      <c r="E16" s="15">
        <f>D16</f>
        <v/>
      </c>
      <c r="F16" s="15">
        <f>E16</f>
        <v/>
      </c>
      <c r="G16" s="15">
        <f>F16</f>
        <v/>
      </c>
    </row>
    <row r="17">
      <c r="A17" s="6" t="inlineStr">
        <is>
          <t>Deferred tax assets (flat)</t>
        </is>
      </c>
      <c r="B17" s="15">
        <f>Assumptions!$B$43</f>
        <v/>
      </c>
      <c r="C17" s="15">
        <f>B17</f>
        <v/>
      </c>
      <c r="D17" s="15">
        <f>C17</f>
        <v/>
      </c>
      <c r="E17" s="15">
        <f>D17</f>
        <v/>
      </c>
      <c r="F17" s="15">
        <f>E17</f>
        <v/>
      </c>
      <c r="G17" s="15">
        <f>F17</f>
        <v/>
      </c>
    </row>
    <row r="18">
      <c r="A18" s="5" t="inlineStr">
        <is>
          <t>Total non-current assets</t>
        </is>
      </c>
      <c r="B18" s="21">
        <f>B13+B14+B15+B16+B17</f>
        <v/>
      </c>
      <c r="C18" s="21">
        <f>C13+C14+C15+C16+C17</f>
        <v/>
      </c>
      <c r="D18" s="21">
        <f>D13+D14+D15+D16+D17</f>
        <v/>
      </c>
      <c r="E18" s="21">
        <f>E13+E14+E15+E16+E17</f>
        <v/>
      </c>
      <c r="F18" s="21">
        <f>F13+F14+F15+F16+F17</f>
        <v/>
      </c>
      <c r="G18" s="21">
        <f>G13+G14+G15+G16+G17</f>
        <v/>
      </c>
    </row>
    <row r="20">
      <c r="A20" s="17" t="inlineStr">
        <is>
          <t>TOTAL ASSETS</t>
        </is>
      </c>
      <c r="B20" s="18">
        <f>B11+B18</f>
        <v/>
      </c>
      <c r="C20" s="18">
        <f>C11+C18</f>
        <v/>
      </c>
      <c r="D20" s="18">
        <f>D11+D18</f>
        <v/>
      </c>
      <c r="E20" s="18">
        <f>E11+E18</f>
        <v/>
      </c>
      <c r="F20" s="18">
        <f>F11+F18</f>
        <v/>
      </c>
      <c r="G20" s="18">
        <f>G11+G18</f>
        <v/>
      </c>
    </row>
    <row r="22">
      <c r="A22" s="3" t="inlineStr">
        <is>
          <t>LIABILITIES</t>
        </is>
      </c>
    </row>
    <row r="23">
      <c r="A23" s="6" t="inlineStr">
        <is>
          <t>Accounts payable</t>
        </is>
      </c>
      <c r="B23" s="15">
        <f>Assumptions!$B$46</f>
        <v/>
      </c>
      <c r="C23" s="15">
        <f>WC!$C$13</f>
        <v/>
      </c>
      <c r="D23" s="15">
        <f>WC!$D$13</f>
        <v/>
      </c>
      <c r="E23" s="15">
        <f>WC!$E$13</f>
        <v/>
      </c>
      <c r="F23" s="15">
        <f>WC!$F$13</f>
        <v/>
      </c>
      <c r="G23" s="15">
        <f>WC!$G$13</f>
        <v/>
      </c>
    </row>
    <row r="24">
      <c r="A24" s="6" t="inlineStr">
        <is>
          <t>Other current liabilities (flat)</t>
        </is>
      </c>
      <c r="B24" s="15">
        <f>Assumptions!$B$47</f>
        <v/>
      </c>
      <c r="C24" s="15">
        <f>B24</f>
        <v/>
      </c>
      <c r="D24" s="15">
        <f>C24</f>
        <v/>
      </c>
      <c r="E24" s="15">
        <f>D24</f>
        <v/>
      </c>
      <c r="F24" s="15">
        <f>E24</f>
        <v/>
      </c>
      <c r="G24" s="15">
        <f>F24</f>
        <v/>
      </c>
    </row>
    <row r="25">
      <c r="A25" s="6" t="inlineStr">
        <is>
          <t>Short-term debt</t>
        </is>
      </c>
      <c r="B25" s="15">
        <f>Debt!B6</f>
        <v/>
      </c>
      <c r="C25" s="15">
        <f>Debt!C6</f>
        <v/>
      </c>
      <c r="D25" s="15">
        <f>Debt!D6</f>
        <v/>
      </c>
      <c r="E25" s="15">
        <f>Debt!E6</f>
        <v/>
      </c>
      <c r="F25" s="15">
        <f>Debt!F6</f>
        <v/>
      </c>
      <c r="G25" s="15">
        <f>Debt!G6</f>
        <v/>
      </c>
    </row>
    <row r="26">
      <c r="A26" s="5" t="inlineStr">
        <is>
          <t>Total current liabilities</t>
        </is>
      </c>
      <c r="B26" s="21">
        <f>B23+B24+B25</f>
        <v/>
      </c>
      <c r="C26" s="21">
        <f>C23+C24+C25</f>
        <v/>
      </c>
      <c r="D26" s="21">
        <f>D23+D24+D25</f>
        <v/>
      </c>
      <c r="E26" s="21">
        <f>E23+E24+E25</f>
        <v/>
      </c>
      <c r="F26" s="21">
        <f>F23+F24+F25</f>
        <v/>
      </c>
      <c r="G26" s="21">
        <f>G23+G24+G25</f>
        <v/>
      </c>
    </row>
    <row r="28">
      <c r="A28" s="6" t="inlineStr">
        <is>
          <t>Long-term debt</t>
        </is>
      </c>
      <c r="B28" s="15">
        <f>Debt!B7</f>
        <v/>
      </c>
      <c r="C28" s="15">
        <f>Debt!C7</f>
        <v/>
      </c>
      <c r="D28" s="15">
        <f>Debt!D7</f>
        <v/>
      </c>
      <c r="E28" s="15">
        <f>Debt!E7</f>
        <v/>
      </c>
      <c r="F28" s="15">
        <f>Debt!F7</f>
        <v/>
      </c>
      <c r="G28" s="15">
        <f>Debt!G7</f>
        <v/>
      </c>
    </row>
    <row r="29">
      <c r="A29" s="6" t="inlineStr">
        <is>
          <t>Lease liabilities</t>
        </is>
      </c>
      <c r="B29" s="15">
        <f>Debt!B8</f>
        <v/>
      </c>
      <c r="C29" s="15">
        <f>Debt!C8</f>
        <v/>
      </c>
      <c r="D29" s="15">
        <f>Debt!D8</f>
        <v/>
      </c>
      <c r="E29" s="15">
        <f>Debt!E8</f>
        <v/>
      </c>
      <c r="F29" s="15">
        <f>Debt!F8</f>
        <v/>
      </c>
      <c r="G29" s="15">
        <f>Debt!G8</f>
        <v/>
      </c>
    </row>
    <row r="30">
      <c r="A30" s="6" t="inlineStr">
        <is>
          <t>Provisions (flat)</t>
        </is>
      </c>
      <c r="B30" s="15">
        <f>Assumptions!$B$51</f>
        <v/>
      </c>
      <c r="C30" s="15">
        <f>B30</f>
        <v/>
      </c>
      <c r="D30" s="15">
        <f>C30</f>
        <v/>
      </c>
      <c r="E30" s="15">
        <f>D30</f>
        <v/>
      </c>
      <c r="F30" s="15">
        <f>E30</f>
        <v/>
      </c>
      <c r="G30" s="15">
        <f>F30</f>
        <v/>
      </c>
    </row>
    <row r="31">
      <c r="A31" s="6" t="inlineStr">
        <is>
          <t>Deferred tax liabilities (flat)</t>
        </is>
      </c>
      <c r="B31" s="15">
        <f>Assumptions!$B$52</f>
        <v/>
      </c>
      <c r="C31" s="15">
        <f>B31</f>
        <v/>
      </c>
      <c r="D31" s="15">
        <f>C31</f>
        <v/>
      </c>
      <c r="E31" s="15">
        <f>D31</f>
        <v/>
      </c>
      <c r="F31" s="15">
        <f>E31</f>
        <v/>
      </c>
      <c r="G31" s="15">
        <f>F31</f>
        <v/>
      </c>
    </row>
    <row r="32">
      <c r="A32" s="6" t="inlineStr">
        <is>
          <t>Other non-current liabilities (flat)</t>
        </is>
      </c>
      <c r="B32" s="15">
        <f>Assumptions!$B$53</f>
        <v/>
      </c>
      <c r="C32" s="15">
        <f>B32</f>
        <v/>
      </c>
      <c r="D32" s="15">
        <f>C32</f>
        <v/>
      </c>
      <c r="E32" s="15">
        <f>D32</f>
        <v/>
      </c>
      <c r="F32" s="15">
        <f>E32</f>
        <v/>
      </c>
      <c r="G32" s="15">
        <f>F32</f>
        <v/>
      </c>
    </row>
    <row r="33">
      <c r="A33" s="5" t="inlineStr">
        <is>
          <t>Total non-current liabilities</t>
        </is>
      </c>
      <c r="B33" s="21">
        <f>B28+B29+B30+B31+B32</f>
        <v/>
      </c>
      <c r="C33" s="21">
        <f>C28+C29+C30+C31+C32</f>
        <v/>
      </c>
      <c r="D33" s="21">
        <f>D28+D29+D30+D31+D32</f>
        <v/>
      </c>
      <c r="E33" s="21">
        <f>E28+E29+E30+E31+E32</f>
        <v/>
      </c>
      <c r="F33" s="21">
        <f>F28+F29+F30+F31+F32</f>
        <v/>
      </c>
      <c r="G33" s="21">
        <f>G28+G29+G30+G31+G32</f>
        <v/>
      </c>
    </row>
    <row r="35">
      <c r="A35" s="17" t="inlineStr">
        <is>
          <t>TOTAL LIABILITIES</t>
        </is>
      </c>
      <c r="B35" s="18">
        <f>B26+B33</f>
        <v/>
      </c>
      <c r="C35" s="18">
        <f>C26+C33</f>
        <v/>
      </c>
      <c r="D35" s="18">
        <f>D26+D33</f>
        <v/>
      </c>
      <c r="E35" s="18">
        <f>E26+E33</f>
        <v/>
      </c>
      <c r="F35" s="18">
        <f>F26+F33</f>
        <v/>
      </c>
      <c r="G35" s="18">
        <f>G26+G33</f>
        <v/>
      </c>
    </row>
    <row r="37">
      <c r="A37" s="3" t="inlineStr">
        <is>
          <t>EQUITY</t>
        </is>
      </c>
    </row>
    <row r="38">
      <c r="A38" s="6" t="inlineStr">
        <is>
          <t>Share capital</t>
        </is>
      </c>
      <c r="B38" s="15">
        <f>Equity!$B$6</f>
        <v/>
      </c>
      <c r="C38" s="15">
        <f>Equity!$C$6</f>
        <v/>
      </c>
      <c r="D38" s="15">
        <f>Equity!$D$6</f>
        <v/>
      </c>
      <c r="E38" s="15">
        <f>Equity!$E$6</f>
        <v/>
      </c>
      <c r="F38" s="15">
        <f>Equity!$F$6</f>
        <v/>
      </c>
      <c r="G38" s="15">
        <f>Equity!$G$6</f>
        <v/>
      </c>
    </row>
    <row r="39">
      <c r="A39" s="6" t="inlineStr">
        <is>
          <t>Retained earnings</t>
        </is>
      </c>
      <c r="B39" s="15">
        <f>Equity!$B$10</f>
        <v/>
      </c>
      <c r="C39" s="15">
        <f>Equity!$C$10</f>
        <v/>
      </c>
      <c r="D39" s="15">
        <f>Equity!$D$10</f>
        <v/>
      </c>
      <c r="E39" s="15">
        <f>Equity!$E$10</f>
        <v/>
      </c>
      <c r="F39" s="15">
        <f>Equity!$F$10</f>
        <v/>
      </c>
      <c r="G39" s="15">
        <f>Equity!$G$10</f>
        <v/>
      </c>
    </row>
    <row r="40">
      <c r="A40" s="6" t="inlineStr">
        <is>
          <t>OCI reserve</t>
        </is>
      </c>
      <c r="B40" s="15">
        <f>Equity!$B$12</f>
        <v/>
      </c>
      <c r="C40" s="15">
        <f>Equity!$C$12</f>
        <v/>
      </c>
      <c r="D40" s="15">
        <f>Equity!$D$12</f>
        <v/>
      </c>
      <c r="E40" s="15">
        <f>Equity!$E$12</f>
        <v/>
      </c>
      <c r="F40" s="15">
        <f>Equity!$F$12</f>
        <v/>
      </c>
      <c r="G40" s="15">
        <f>Equity!$G$12</f>
        <v/>
      </c>
    </row>
    <row r="41">
      <c r="A41" s="6" t="inlineStr">
        <is>
          <t>Minority interest</t>
        </is>
      </c>
      <c r="B41" s="15">
        <f>Equity!$B$13</f>
        <v/>
      </c>
      <c r="C41" s="15">
        <f>Equity!$C$13</f>
        <v/>
      </c>
      <c r="D41" s="15">
        <f>Equity!$D$13</f>
        <v/>
      </c>
      <c r="E41" s="15">
        <f>Equity!$E$13</f>
        <v/>
      </c>
      <c r="F41" s="15">
        <f>Equity!$F$13</f>
        <v/>
      </c>
      <c r="G41" s="15">
        <f>Equity!$G$13</f>
        <v/>
      </c>
    </row>
    <row r="42">
      <c r="A42" s="17" t="inlineStr">
        <is>
          <t>TOTAL EQUITY</t>
        </is>
      </c>
      <c r="B42" s="18">
        <f>Equity!$B$15</f>
        <v/>
      </c>
      <c r="C42" s="18">
        <f>Equity!$C$15</f>
        <v/>
      </c>
      <c r="D42" s="18">
        <f>Equity!$D$15</f>
        <v/>
      </c>
      <c r="E42" s="18">
        <f>Equity!$E$15</f>
        <v/>
      </c>
      <c r="F42" s="18">
        <f>Equity!$F$15</f>
        <v/>
      </c>
      <c r="G42" s="18">
        <f>Equity!$G$15</f>
        <v/>
      </c>
    </row>
    <row r="44">
      <c r="A44" s="5" t="inlineStr">
        <is>
          <t>Balance check (A − L − E)</t>
        </is>
      </c>
      <c r="B44" s="21">
        <f>B20-B35-B42</f>
        <v/>
      </c>
      <c r="C44" s="21">
        <f>C20-C35-C42</f>
        <v/>
      </c>
      <c r="D44" s="21">
        <f>D20-D35-D42</f>
        <v/>
      </c>
      <c r="E44" s="21">
        <f>E20-E35-E42</f>
        <v/>
      </c>
      <c r="F44" s="21">
        <f>F20-F35-F42</f>
        <v/>
      </c>
      <c r="G44" s="21">
        <f>G20-G35-G42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CASH FLOW STATEMENT (indirect method)</t>
        </is>
      </c>
    </row>
    <row r="2">
      <c r="A2" s="2" t="inlineStr">
        <is>
          <t>All figures in SAR billion. Net change in cash flows to BS.</t>
        </is>
      </c>
    </row>
    <row r="4">
      <c r="A4" s="13" t="n"/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3" t="inlineStr">
        <is>
          <t>OPERATING</t>
        </is>
      </c>
    </row>
    <row r="7">
      <c r="A7" s="6" t="inlineStr">
        <is>
          <t>Net income</t>
        </is>
      </c>
      <c r="C7" s="15">
        <f>IS!$C$26</f>
        <v/>
      </c>
      <c r="D7" s="15">
        <f>IS!$D$26</f>
        <v/>
      </c>
      <c r="E7" s="15">
        <f>IS!$E$26</f>
        <v/>
      </c>
      <c r="F7" s="15">
        <f>IS!$F$26</f>
        <v/>
      </c>
      <c r="G7" s="15">
        <f>IS!$G$26</f>
        <v/>
      </c>
    </row>
    <row r="8">
      <c r="A8" s="6" t="inlineStr">
        <is>
          <t>+ D&amp;A (non-cash addback)</t>
        </is>
      </c>
      <c r="C8" s="15">
        <f>-IS!$C$16</f>
        <v/>
      </c>
      <c r="D8" s="15">
        <f>-IS!$D$16</f>
        <v/>
      </c>
      <c r="E8" s="15">
        <f>-IS!$E$16</f>
        <v/>
      </c>
      <c r="F8" s="15">
        <f>-IS!$F$16</f>
        <v/>
      </c>
      <c r="G8" s="15">
        <f>-IS!$G$16</f>
        <v/>
      </c>
    </row>
    <row r="9">
      <c r="A9" s="6" t="inlineStr">
        <is>
          <t>+/− Δ working capital</t>
        </is>
      </c>
      <c r="C9" s="15">
        <f>WC!$C$20</f>
        <v/>
      </c>
      <c r="D9" s="15">
        <f>WC!$D$20</f>
        <v/>
      </c>
      <c r="E9" s="15">
        <f>WC!$E$20</f>
        <v/>
      </c>
      <c r="F9" s="15">
        <f>WC!$F$20</f>
        <v/>
      </c>
      <c r="G9" s="15">
        <f>WC!$G$20</f>
        <v/>
      </c>
    </row>
    <row r="10">
      <c r="A10" s="17" t="inlineStr">
        <is>
          <t>Cash from operations (CFO)</t>
        </is>
      </c>
      <c r="C10" s="18">
        <f>C7+C8+C9</f>
        <v/>
      </c>
      <c r="D10" s="18">
        <f>D7+D8+D9</f>
        <v/>
      </c>
      <c r="E10" s="18">
        <f>E7+E8+E9</f>
        <v/>
      </c>
      <c r="F10" s="18">
        <f>F7+F8+F9</f>
        <v/>
      </c>
      <c r="G10" s="18">
        <f>G7+G8+G9</f>
        <v/>
      </c>
    </row>
    <row r="12">
      <c r="A12" s="3" t="inlineStr">
        <is>
          <t>INVESTING</t>
        </is>
      </c>
    </row>
    <row r="13">
      <c r="A13" s="6" t="inlineStr">
        <is>
          <t>− Capex</t>
        </is>
      </c>
      <c r="C13" s="15">
        <f>-PPE!$C$7</f>
        <v/>
      </c>
      <c r="D13" s="15">
        <f>-PPE!$D$7</f>
        <v/>
      </c>
      <c r="E13" s="15">
        <f>-PPE!$E$7</f>
        <v/>
      </c>
      <c r="F13" s="15">
        <f>-PPE!$F$7</f>
        <v/>
      </c>
      <c r="G13" s="15">
        <f>-PPE!$G$7</f>
        <v/>
      </c>
    </row>
    <row r="14">
      <c r="A14" s="6" t="inlineStr">
        <is>
          <t>Other investing (flat / nil)</t>
        </is>
      </c>
      <c r="C14" s="15">
        <f>0</f>
        <v/>
      </c>
      <c r="D14" s="15">
        <f>0</f>
        <v/>
      </c>
      <c r="E14" s="15">
        <f>0</f>
        <v/>
      </c>
      <c r="F14" s="15">
        <f>0</f>
        <v/>
      </c>
      <c r="G14" s="15">
        <f>0</f>
        <v/>
      </c>
    </row>
    <row r="15">
      <c r="A15" s="17" t="inlineStr">
        <is>
          <t>Cash from investing (CFI)</t>
        </is>
      </c>
      <c r="C15" s="18">
        <f>C13+C14</f>
        <v/>
      </c>
      <c r="D15" s="18">
        <f>D13+D14</f>
        <v/>
      </c>
      <c r="E15" s="18">
        <f>E13+E14</f>
        <v/>
      </c>
      <c r="F15" s="18">
        <f>F13+F14</f>
        <v/>
      </c>
      <c r="G15" s="18">
        <f>G13+G14</f>
        <v/>
      </c>
    </row>
    <row r="17">
      <c r="A17" s="3" t="inlineStr">
        <is>
          <t>FINANCING</t>
        </is>
      </c>
    </row>
    <row r="18">
      <c r="A18" s="6" t="inlineStr">
        <is>
          <t>+/− Net debt issuance (flat assumption)</t>
        </is>
      </c>
      <c r="C18" s="15">
        <f>0</f>
        <v/>
      </c>
      <c r="D18" s="15">
        <f>0</f>
        <v/>
      </c>
      <c r="E18" s="15">
        <f>0</f>
        <v/>
      </c>
      <c r="F18" s="15">
        <f>0</f>
        <v/>
      </c>
      <c r="G18" s="15">
        <f>0</f>
        <v/>
      </c>
    </row>
    <row r="19">
      <c r="A19" s="6" t="inlineStr">
        <is>
          <t>− Dividends paid</t>
        </is>
      </c>
      <c r="C19" s="15">
        <f>Equity!$C$9</f>
        <v/>
      </c>
      <c r="D19" s="15">
        <f>Equity!$D$9</f>
        <v/>
      </c>
      <c r="E19" s="15">
        <f>Equity!$E$9</f>
        <v/>
      </c>
      <c r="F19" s="15">
        <f>Equity!$F$9</f>
        <v/>
      </c>
      <c r="G19" s="15">
        <f>Equity!$G$9</f>
        <v/>
      </c>
    </row>
    <row r="20">
      <c r="A20" s="17" t="inlineStr">
        <is>
          <t>Cash from financing (CFF)</t>
        </is>
      </c>
      <c r="C20" s="18">
        <f>C18+C19</f>
        <v/>
      </c>
      <c r="D20" s="18">
        <f>D18+D19</f>
        <v/>
      </c>
      <c r="E20" s="18">
        <f>E18+E19</f>
        <v/>
      </c>
      <c r="F20" s="18">
        <f>F18+F19</f>
        <v/>
      </c>
      <c r="G20" s="18">
        <f>G18+G19</f>
        <v/>
      </c>
    </row>
    <row r="22">
      <c r="A22" s="17" t="inlineStr">
        <is>
          <t>Net change in cash</t>
        </is>
      </c>
      <c r="C22" s="18">
        <f>C10+C15+C20</f>
        <v/>
      </c>
      <c r="D22" s="18">
        <f>D10+D15+D20</f>
        <v/>
      </c>
      <c r="E22" s="18">
        <f>E10+E15+E20</f>
        <v/>
      </c>
      <c r="F22" s="18">
        <f>F10+F15+F20</f>
        <v/>
      </c>
      <c r="G22" s="18">
        <f>G10+G15+G20</f>
        <v/>
      </c>
    </row>
    <row r="23">
      <c r="A23" s="6" t="inlineStr">
        <is>
          <t>Opening cash</t>
        </is>
      </c>
      <c r="C23" s="15">
        <f>Assumptions!$B$35</f>
        <v/>
      </c>
      <c r="D23" s="15">
        <f>C24</f>
        <v/>
      </c>
      <c r="E23" s="15">
        <f>D24</f>
        <v/>
      </c>
      <c r="F23" s="15">
        <f>E24</f>
        <v/>
      </c>
      <c r="G23" s="15">
        <f>F24</f>
        <v/>
      </c>
    </row>
    <row r="24">
      <c r="A24" s="17" t="inlineStr">
        <is>
          <t>Closing cash</t>
        </is>
      </c>
      <c r="C24" s="18">
        <f>C23+C22</f>
        <v/>
      </c>
      <c r="D24" s="18">
        <f>D23+D22</f>
        <v/>
      </c>
      <c r="E24" s="18">
        <f>E23+E22</f>
        <v/>
      </c>
      <c r="F24" s="18">
        <f>F23+F22</f>
        <v/>
      </c>
      <c r="G24" s="18">
        <f>G23+G22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3" t="inlineStr">
        <is>
          <t>Y1 MONTHLY BUDGET</t>
        </is>
      </c>
    </row>
    <row r="2">
      <c r="A2" s="2" t="inlineStr">
        <is>
          <t>Y1 P&amp;L line items, distributed by month per the seasonality weights below. Variance columns are placeholders for actuals.</t>
        </is>
      </c>
    </row>
    <row r="4">
      <c r="A4" s="13" t="n"/>
      <c r="B4" s="14" t="inlineStr">
        <is>
          <t>Jan</t>
        </is>
      </c>
      <c r="C4" s="14" t="inlineStr">
        <is>
          <t>Feb</t>
        </is>
      </c>
      <c r="D4" s="14" t="inlineStr">
        <is>
          <t>Mar</t>
        </is>
      </c>
      <c r="E4" s="14" t="inlineStr">
        <is>
          <t>Apr</t>
        </is>
      </c>
      <c r="F4" s="14" t="inlineStr">
        <is>
          <t>May</t>
        </is>
      </c>
      <c r="G4" s="14" t="inlineStr">
        <is>
          <t>Jun</t>
        </is>
      </c>
      <c r="H4" s="14" t="inlineStr">
        <is>
          <t>Jul</t>
        </is>
      </c>
      <c r="I4" s="14" t="inlineStr">
        <is>
          <t>Aug</t>
        </is>
      </c>
      <c r="J4" s="14" t="inlineStr">
        <is>
          <t>Sep</t>
        </is>
      </c>
      <c r="K4" s="14" t="inlineStr">
        <is>
          <t>Oct</t>
        </is>
      </c>
      <c r="L4" s="14" t="inlineStr">
        <is>
          <t>Nov</t>
        </is>
      </c>
      <c r="M4" s="14" t="inlineStr">
        <is>
          <t>Dec</t>
        </is>
      </c>
      <c r="N4" s="14" t="inlineStr">
        <is>
          <t>Y1 Total</t>
        </is>
      </c>
    </row>
    <row r="5">
      <c r="A5" s="6" t="inlineStr">
        <is>
          <t>Seasonality weight</t>
        </is>
      </c>
      <c r="B5" s="10" t="n">
        <v>0.081</v>
      </c>
      <c r="C5" s="10" t="n">
        <v>0.078</v>
      </c>
      <c r="D5" s="10" t="n">
        <v>0.082</v>
      </c>
      <c r="E5" s="10" t="n">
        <v>0.083</v>
      </c>
      <c r="F5" s="10" t="n">
        <v>0.082</v>
      </c>
      <c r="G5" s="10" t="n">
        <v>0.08500000000000001</v>
      </c>
      <c r="H5" s="10" t="n">
        <v>0.082</v>
      </c>
      <c r="I5" s="10" t="n">
        <v>0.083</v>
      </c>
      <c r="J5" s="10" t="n">
        <v>0.08400000000000001</v>
      </c>
      <c r="K5" s="10" t="n">
        <v>0.08599999999999999</v>
      </c>
      <c r="L5" s="10" t="n">
        <v>0.08699999999999999</v>
      </c>
      <c r="M5" s="10" t="n">
        <v>0.08699999999999999</v>
      </c>
      <c r="N5" s="22">
        <f>SUM(B5:M5)</f>
        <v/>
      </c>
    </row>
    <row r="7">
      <c r="A7" s="3" t="inlineStr">
        <is>
          <t>P&amp;L lines (SAR bn)</t>
        </is>
      </c>
    </row>
    <row r="8">
      <c r="A8" s="6" t="inlineStr">
        <is>
          <t>Service revenue</t>
        </is>
      </c>
      <c r="B8" s="15">
        <f>B5*(IS!$C$5)</f>
        <v/>
      </c>
      <c r="C8" s="15">
        <f>C5*(IS!$C$5)</f>
        <v/>
      </c>
      <c r="D8" s="15">
        <f>D5*(IS!$C$5)</f>
        <v/>
      </c>
      <c r="E8" s="15">
        <f>E5*(IS!$C$5)</f>
        <v/>
      </c>
      <c r="F8" s="15">
        <f>F5*(IS!$C$5)</f>
        <v/>
      </c>
      <c r="G8" s="15">
        <f>G5*(IS!$C$5)</f>
        <v/>
      </c>
      <c r="H8" s="15">
        <f>H5*(IS!$C$5)</f>
        <v/>
      </c>
      <c r="I8" s="15">
        <f>I5*(IS!$C$5)</f>
        <v/>
      </c>
      <c r="J8" s="15">
        <f>J5*(IS!$C$5)</f>
        <v/>
      </c>
      <c r="K8" s="15">
        <f>K5*(IS!$C$5)</f>
        <v/>
      </c>
      <c r="L8" s="15">
        <f>L5*(IS!$C$5)</f>
        <v/>
      </c>
      <c r="M8" s="15">
        <f>M5*(IS!$C$5)</f>
        <v/>
      </c>
      <c r="N8" s="21">
        <f>SUM(B8:M8)</f>
        <v/>
      </c>
    </row>
    <row r="9">
      <c r="A9" s="6" t="inlineStr">
        <is>
          <t>COGS / interconnect</t>
        </is>
      </c>
      <c r="B9" s="15">
        <f>B5*(IS!$C$8)</f>
        <v/>
      </c>
      <c r="C9" s="15">
        <f>C5*(IS!$C$8)</f>
        <v/>
      </c>
      <c r="D9" s="15">
        <f>D5*(IS!$C$8)</f>
        <v/>
      </c>
      <c r="E9" s="15">
        <f>E5*(IS!$C$8)</f>
        <v/>
      </c>
      <c r="F9" s="15">
        <f>F5*(IS!$C$8)</f>
        <v/>
      </c>
      <c r="G9" s="15">
        <f>G5*(IS!$C$8)</f>
        <v/>
      </c>
      <c r="H9" s="15">
        <f>H5*(IS!$C$8)</f>
        <v/>
      </c>
      <c r="I9" s="15">
        <f>I5*(IS!$C$8)</f>
        <v/>
      </c>
      <c r="J9" s="15">
        <f>J5*(IS!$C$8)</f>
        <v/>
      </c>
      <c r="K9" s="15">
        <f>K5*(IS!$C$8)</f>
        <v/>
      </c>
      <c r="L9" s="15">
        <f>L5*(IS!$C$8)</f>
        <v/>
      </c>
      <c r="M9" s="15">
        <f>M5*(IS!$C$8)</f>
        <v/>
      </c>
      <c r="N9" s="21">
        <f>SUM(B9:M9)</f>
        <v/>
      </c>
    </row>
    <row r="10">
      <c r="A10" s="6" t="inlineStr">
        <is>
          <t>Network opex</t>
        </is>
      </c>
      <c r="B10" s="15">
        <f>B5*(IS!$C$9)</f>
        <v/>
      </c>
      <c r="C10" s="15">
        <f>C5*(IS!$C$9)</f>
        <v/>
      </c>
      <c r="D10" s="15">
        <f>D5*(IS!$C$9)</f>
        <v/>
      </c>
      <c r="E10" s="15">
        <f>E5*(IS!$C$9)</f>
        <v/>
      </c>
      <c r="F10" s="15">
        <f>F5*(IS!$C$9)</f>
        <v/>
      </c>
      <c r="G10" s="15">
        <f>G5*(IS!$C$9)</f>
        <v/>
      </c>
      <c r="H10" s="15">
        <f>H5*(IS!$C$9)</f>
        <v/>
      </c>
      <c r="I10" s="15">
        <f>I5*(IS!$C$9)</f>
        <v/>
      </c>
      <c r="J10" s="15">
        <f>J5*(IS!$C$9)</f>
        <v/>
      </c>
      <c r="K10" s="15">
        <f>K5*(IS!$C$9)</f>
        <v/>
      </c>
      <c r="L10" s="15">
        <f>L5*(IS!$C$9)</f>
        <v/>
      </c>
      <c r="M10" s="15">
        <f>M5*(IS!$C$9)</f>
        <v/>
      </c>
      <c r="N10" s="21">
        <f>SUM(B10:M10)</f>
        <v/>
      </c>
    </row>
    <row r="11">
      <c r="A11" s="6" t="inlineStr">
        <is>
          <t>Employee costs</t>
        </is>
      </c>
      <c r="B11" s="15">
        <f>B5*(IS!$C$10)</f>
        <v/>
      </c>
      <c r="C11" s="15">
        <f>C5*(IS!$C$10)</f>
        <v/>
      </c>
      <c r="D11" s="15">
        <f>D5*(IS!$C$10)</f>
        <v/>
      </c>
      <c r="E11" s="15">
        <f>E5*(IS!$C$10)</f>
        <v/>
      </c>
      <c r="F11" s="15">
        <f>F5*(IS!$C$10)</f>
        <v/>
      </c>
      <c r="G11" s="15">
        <f>G5*(IS!$C$10)</f>
        <v/>
      </c>
      <c r="H11" s="15">
        <f>H5*(IS!$C$10)</f>
        <v/>
      </c>
      <c r="I11" s="15">
        <f>I5*(IS!$C$10)</f>
        <v/>
      </c>
      <c r="J11" s="15">
        <f>J5*(IS!$C$10)</f>
        <v/>
      </c>
      <c r="K11" s="15">
        <f>K5*(IS!$C$10)</f>
        <v/>
      </c>
      <c r="L11" s="15">
        <f>L5*(IS!$C$10)</f>
        <v/>
      </c>
      <c r="M11" s="15">
        <f>M5*(IS!$C$10)</f>
        <v/>
      </c>
      <c r="N11" s="21">
        <f>SUM(B11:M11)</f>
        <v/>
      </c>
    </row>
    <row r="12">
      <c r="A12" s="6" t="inlineStr">
        <is>
          <t>Customer acquisition</t>
        </is>
      </c>
      <c r="B12" s="15">
        <f>B5*(IS!$C$11)</f>
        <v/>
      </c>
      <c r="C12" s="15">
        <f>C5*(IS!$C$11)</f>
        <v/>
      </c>
      <c r="D12" s="15">
        <f>D5*(IS!$C$11)</f>
        <v/>
      </c>
      <c r="E12" s="15">
        <f>E5*(IS!$C$11)</f>
        <v/>
      </c>
      <c r="F12" s="15">
        <f>F5*(IS!$C$11)</f>
        <v/>
      </c>
      <c r="G12" s="15">
        <f>G5*(IS!$C$11)</f>
        <v/>
      </c>
      <c r="H12" s="15">
        <f>H5*(IS!$C$11)</f>
        <v/>
      </c>
      <c r="I12" s="15">
        <f>I5*(IS!$C$11)</f>
        <v/>
      </c>
      <c r="J12" s="15">
        <f>J5*(IS!$C$11)</f>
        <v/>
      </c>
      <c r="K12" s="15">
        <f>K5*(IS!$C$11)</f>
        <v/>
      </c>
      <c r="L12" s="15">
        <f>L5*(IS!$C$11)</f>
        <v/>
      </c>
      <c r="M12" s="15">
        <f>M5*(IS!$C$11)</f>
        <v/>
      </c>
      <c r="N12" s="21">
        <f>SUM(B12:M12)</f>
        <v/>
      </c>
    </row>
    <row r="13">
      <c r="A13" s="6" t="inlineStr">
        <is>
          <t>Other opex / G&amp;A</t>
        </is>
      </c>
      <c r="B13" s="15">
        <f>B5*(IS!$C$12)</f>
        <v/>
      </c>
      <c r="C13" s="15">
        <f>C5*(IS!$C$12)</f>
        <v/>
      </c>
      <c r="D13" s="15">
        <f>D5*(IS!$C$12)</f>
        <v/>
      </c>
      <c r="E13" s="15">
        <f>E5*(IS!$C$12)</f>
        <v/>
      </c>
      <c r="F13" s="15">
        <f>F5*(IS!$C$12)</f>
        <v/>
      </c>
      <c r="G13" s="15">
        <f>G5*(IS!$C$12)</f>
        <v/>
      </c>
      <c r="H13" s="15">
        <f>H5*(IS!$C$12)</f>
        <v/>
      </c>
      <c r="I13" s="15">
        <f>I5*(IS!$C$12)</f>
        <v/>
      </c>
      <c r="J13" s="15">
        <f>J5*(IS!$C$12)</f>
        <v/>
      </c>
      <c r="K13" s="15">
        <f>K5*(IS!$C$12)</f>
        <v/>
      </c>
      <c r="L13" s="15">
        <f>L5*(IS!$C$12)</f>
        <v/>
      </c>
      <c r="M13" s="15">
        <f>M5*(IS!$C$12)</f>
        <v/>
      </c>
      <c r="N13" s="21">
        <f>SUM(B13:M13)</f>
        <v/>
      </c>
    </row>
    <row r="14">
      <c r="A14" s="17" t="inlineStr">
        <is>
          <t>EBITDA</t>
        </is>
      </c>
      <c r="B14" s="18">
        <f>B5*(IS!$C$14)</f>
        <v/>
      </c>
      <c r="C14" s="18">
        <f>C5*(IS!$C$14)</f>
        <v/>
      </c>
      <c r="D14" s="18">
        <f>D5*(IS!$C$14)</f>
        <v/>
      </c>
      <c r="E14" s="18">
        <f>E5*(IS!$C$14)</f>
        <v/>
      </c>
      <c r="F14" s="18">
        <f>F5*(IS!$C$14)</f>
        <v/>
      </c>
      <c r="G14" s="18">
        <f>G5*(IS!$C$14)</f>
        <v/>
      </c>
      <c r="H14" s="18">
        <f>H5*(IS!$C$14)</f>
        <v/>
      </c>
      <c r="I14" s="18">
        <f>I5*(IS!$C$14)</f>
        <v/>
      </c>
      <c r="J14" s="18">
        <f>J5*(IS!$C$14)</f>
        <v/>
      </c>
      <c r="K14" s="18">
        <f>K5*(IS!$C$14)</f>
        <v/>
      </c>
      <c r="L14" s="18">
        <f>L5*(IS!$C$14)</f>
        <v/>
      </c>
      <c r="M14" s="18">
        <f>M5*(IS!$C$14)</f>
        <v/>
      </c>
      <c r="N14" s="18">
        <f>SUM(B14:M14)</f>
        <v/>
      </c>
    </row>
    <row r="15">
      <c r="A15" s="6" t="inlineStr">
        <is>
          <t>D&amp;A</t>
        </is>
      </c>
      <c r="B15" s="15">
        <f>B5*(IS!$C$16)</f>
        <v/>
      </c>
      <c r="C15" s="15">
        <f>C5*(IS!$C$16)</f>
        <v/>
      </c>
      <c r="D15" s="15">
        <f>D5*(IS!$C$16)</f>
        <v/>
      </c>
      <c r="E15" s="15">
        <f>E5*(IS!$C$16)</f>
        <v/>
      </c>
      <c r="F15" s="15">
        <f>F5*(IS!$C$16)</f>
        <v/>
      </c>
      <c r="G15" s="15">
        <f>G5*(IS!$C$16)</f>
        <v/>
      </c>
      <c r="H15" s="15">
        <f>H5*(IS!$C$16)</f>
        <v/>
      </c>
      <c r="I15" s="15">
        <f>I5*(IS!$C$16)</f>
        <v/>
      </c>
      <c r="J15" s="15">
        <f>J5*(IS!$C$16)</f>
        <v/>
      </c>
      <c r="K15" s="15">
        <f>K5*(IS!$C$16)</f>
        <v/>
      </c>
      <c r="L15" s="15">
        <f>L5*(IS!$C$16)</f>
        <v/>
      </c>
      <c r="M15" s="15">
        <f>M5*(IS!$C$16)</f>
        <v/>
      </c>
      <c r="N15" s="21">
        <f>SUM(B15:M15)</f>
        <v/>
      </c>
    </row>
    <row r="16">
      <c r="A16" s="17" t="inlineStr">
        <is>
          <t>EBIT</t>
        </is>
      </c>
      <c r="B16" s="18">
        <f>B5*(IS!$C$18)</f>
        <v/>
      </c>
      <c r="C16" s="18">
        <f>C5*(IS!$C$18)</f>
        <v/>
      </c>
      <c r="D16" s="18">
        <f>D5*(IS!$C$18)</f>
        <v/>
      </c>
      <c r="E16" s="18">
        <f>E5*(IS!$C$18)</f>
        <v/>
      </c>
      <c r="F16" s="18">
        <f>F5*(IS!$C$18)</f>
        <v/>
      </c>
      <c r="G16" s="18">
        <f>G5*(IS!$C$18)</f>
        <v/>
      </c>
      <c r="H16" s="18">
        <f>H5*(IS!$C$18)</f>
        <v/>
      </c>
      <c r="I16" s="18">
        <f>I5*(IS!$C$18)</f>
        <v/>
      </c>
      <c r="J16" s="18">
        <f>J5*(IS!$C$18)</f>
        <v/>
      </c>
      <c r="K16" s="18">
        <f>K5*(IS!$C$18)</f>
        <v/>
      </c>
      <c r="L16" s="18">
        <f>L5*(IS!$C$18)</f>
        <v/>
      </c>
      <c r="M16" s="18">
        <f>M5*(IS!$C$18)</f>
        <v/>
      </c>
      <c r="N16" s="18">
        <f>SUM(B16:M16)</f>
        <v/>
      </c>
    </row>
    <row r="17">
      <c r="A17" s="17" t="inlineStr">
        <is>
          <t>Net income</t>
        </is>
      </c>
      <c r="B17" s="18">
        <f>B5*(IS!$C$26)</f>
        <v/>
      </c>
      <c r="C17" s="18">
        <f>C5*(IS!$C$26)</f>
        <v/>
      </c>
      <c r="D17" s="18">
        <f>D5*(IS!$C$26)</f>
        <v/>
      </c>
      <c r="E17" s="18">
        <f>E5*(IS!$C$26)</f>
        <v/>
      </c>
      <c r="F17" s="18">
        <f>F5*(IS!$C$26)</f>
        <v/>
      </c>
      <c r="G17" s="18">
        <f>G5*(IS!$C$26)</f>
        <v/>
      </c>
      <c r="H17" s="18">
        <f>H5*(IS!$C$26)</f>
        <v/>
      </c>
      <c r="I17" s="18">
        <f>I5*(IS!$C$26)</f>
        <v/>
      </c>
      <c r="J17" s="18">
        <f>J5*(IS!$C$26)</f>
        <v/>
      </c>
      <c r="K17" s="18">
        <f>K5*(IS!$C$26)</f>
        <v/>
      </c>
      <c r="L17" s="18">
        <f>L5*(IS!$C$26)</f>
        <v/>
      </c>
      <c r="M17" s="18">
        <f>M5*(IS!$C$26)</f>
        <v/>
      </c>
      <c r="N17" s="18">
        <f>SUM(B17:M17)</f>
        <v/>
      </c>
    </row>
    <row r="19">
      <c r="A19" s="3" t="inlineStr">
        <is>
          <t>Quarterly summary</t>
        </is>
      </c>
    </row>
    <row r="20">
      <c r="A20" s="6" t="inlineStr">
        <is>
          <t>Service revenue (quarterly)</t>
        </is>
      </c>
      <c r="B20" s="2" t="inlineStr">
        <is>
          <t>Q1</t>
        </is>
      </c>
      <c r="C20" s="2" t="inlineStr">
        <is>
          <t>Q2</t>
        </is>
      </c>
      <c r="D20" s="2" t="inlineStr">
        <is>
          <t>Q3</t>
        </is>
      </c>
      <c r="E20" s="2" t="inlineStr">
        <is>
          <t>Q4</t>
        </is>
      </c>
    </row>
    <row r="21">
      <c r="A21" s="6" t="inlineStr">
        <is>
          <t>Quarterly service revenue</t>
        </is>
      </c>
      <c r="B21" s="18">
        <f>B7+C7+D7</f>
        <v/>
      </c>
      <c r="C21" s="18">
        <f>E7+F7+G7</f>
        <v/>
      </c>
      <c r="D21" s="18">
        <f>H7+I7+J7</f>
        <v/>
      </c>
      <c r="E21" s="18">
        <f>K7+L7+M7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SCENARIO MANAGER</t>
        </is>
      </c>
    </row>
    <row r="2">
      <c r="A2" s="2" t="inlineStr">
        <is>
          <t>Reference table for downside / base / upside parameter sets. Active scenario set on Assumptions sheet.</t>
        </is>
      </c>
    </row>
    <row r="4">
      <c r="A4" s="13" t="n"/>
      <c r="B4" s="14" t="inlineStr">
        <is>
          <t>1: Downside</t>
        </is>
      </c>
      <c r="C4" s="14" t="inlineStr">
        <is>
          <t>2: Base</t>
        </is>
      </c>
      <c r="D4" s="14" t="inlineStr">
        <is>
          <t>3: Upside</t>
        </is>
      </c>
    </row>
    <row r="6">
      <c r="A6" s="6" t="inlineStr">
        <is>
          <t>Revenue growth</t>
        </is>
      </c>
      <c r="B6" s="10" t="n">
        <v>0.02</v>
      </c>
      <c r="C6" s="10" t="n">
        <v>0.06</v>
      </c>
      <c r="D6" s="10" t="n">
        <v>0.09</v>
      </c>
    </row>
    <row r="7">
      <c r="A7" s="6" t="inlineStr">
        <is>
          <t>EBITDA margin (target)</t>
        </is>
      </c>
      <c r="B7" s="10" t="n">
        <v>0.33</v>
      </c>
      <c r="C7" s="10" t="n">
        <v>0.36</v>
      </c>
      <c r="D7" s="10" t="n">
        <v>0.38</v>
      </c>
    </row>
    <row r="8">
      <c r="A8" s="6" t="inlineStr">
        <is>
          <t>Capex intensity</t>
        </is>
      </c>
      <c r="B8" s="10" t="n">
        <v>0.2</v>
      </c>
      <c r="C8" s="10" t="n">
        <v>0.18</v>
      </c>
      <c r="D8" s="10" t="n">
        <v>0.16</v>
      </c>
    </row>
    <row r="10">
      <c r="A10" s="5" t="inlineStr">
        <is>
          <t>Active scenario (1/2/3)</t>
        </is>
      </c>
      <c r="B10" s="23">
        <f>Assumptions!$B$62</f>
        <v/>
      </c>
    </row>
    <row r="12">
      <c r="A12" s="3" t="inlineStr">
        <is>
          <t>Active values (use INDEX in Assumptions to wire these)</t>
        </is>
      </c>
    </row>
    <row r="13">
      <c r="A13" s="6" t="inlineStr">
        <is>
          <t>Note</t>
        </is>
      </c>
      <c r="B13" s="24" t="inlineStr">
        <is>
          <t>Manually overwrite Assumptions!B6/B7/B9 with these values, or build INDEX formulas. Kept manual for clarity.</t>
        </is>
      </c>
    </row>
  </sheetData>
  <mergeCells count="1">
    <mergeCell ref="B13:E1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SENSITIVITY TABLES</t>
        </is>
      </c>
    </row>
    <row r="2">
      <c r="A2" s="2" t="inlineStr">
        <is>
          <t>Two-way tables on the key valuation levers. Outputs computed via TABLE-style formulas — change axis values to flex.</t>
        </is>
      </c>
    </row>
    <row r="4">
      <c r="A4" s="3" t="inlineStr">
        <is>
          <t>Per-share value (SAR) — WACC × terminal growth</t>
        </is>
      </c>
    </row>
    <row r="5">
      <c r="A5" s="6" t="inlineStr">
        <is>
          <t>WACC →</t>
        </is>
      </c>
      <c r="B5" s="10" t="n">
        <v>0.07000000000000001</v>
      </c>
      <c r="C5" s="10" t="n">
        <v>0.08</v>
      </c>
      <c r="D5" s="10" t="n">
        <v>0.09</v>
      </c>
      <c r="E5" s="10" t="n">
        <v>0.1</v>
      </c>
      <c r="F5" s="10" t="n">
        <v>0.11</v>
      </c>
    </row>
    <row r="6">
      <c r="A6" s="10" t="n">
        <v>0.01</v>
      </c>
      <c r="B6" s="25">
        <f>((((IS!$C$18*(1-Assumptions!$B$20)+(-IS!$C$16)-PPE!$C$7+WC!$C$20)/(1+B5)^1)+((IS!$D$18*(1-Assumptions!$B$20)+(-IS!$D$16)-PPE!$D$7+WC!$D$20)/(1+B5)^2)+((IS!$E$18*(1-Assumptions!$B$20)+(-IS!$E$16)-PPE!$E$7+WC!$E$20)/(1+B5)^3)+((IS!$F$18*(1-Assumptions!$B$20)+(-IS!$F$16)-PPE!$F$7+WC!$F$20)/(1+B5)^4)+((IS!$G$18*(1-Assumptions!$B$20)+(-IS!$G$16)-PPE!$G$7+WC!$G$20)/(1+B5)^5)+(((IS!$G$18*(1-Assumptions!$B$20)+(-IS!$G$16)-PPE!$G$7+WC!$G$20)*(1+A6)/(B5-A6))/(1+B5)^5))-Debt!$B$14)*1000/Assumptions!$B$32</f>
        <v/>
      </c>
      <c r="C6" s="25">
        <f>((((IS!$C$18*(1-Assumptions!$B$20)+(-IS!$C$16)-PPE!$C$7+WC!$C$20)/(1+C5)^1)+((IS!$D$18*(1-Assumptions!$B$20)+(-IS!$D$16)-PPE!$D$7+WC!$D$20)/(1+C5)^2)+((IS!$E$18*(1-Assumptions!$B$20)+(-IS!$E$16)-PPE!$E$7+WC!$E$20)/(1+C5)^3)+((IS!$F$18*(1-Assumptions!$B$20)+(-IS!$F$16)-PPE!$F$7+WC!$F$20)/(1+C5)^4)+((IS!$G$18*(1-Assumptions!$B$20)+(-IS!$G$16)-PPE!$G$7+WC!$G$20)/(1+C5)^5)+(((IS!$G$18*(1-Assumptions!$B$20)+(-IS!$G$16)-PPE!$G$7+WC!$G$20)*(1+A6)/(C5-A6))/(1+C5)^5))-Debt!$B$14)*1000/Assumptions!$B$32</f>
        <v/>
      </c>
      <c r="D6" s="25">
        <f>((((IS!$C$18*(1-Assumptions!$B$20)+(-IS!$C$16)-PPE!$C$7+WC!$C$20)/(1+D5)^1)+((IS!$D$18*(1-Assumptions!$B$20)+(-IS!$D$16)-PPE!$D$7+WC!$D$20)/(1+D5)^2)+((IS!$E$18*(1-Assumptions!$B$20)+(-IS!$E$16)-PPE!$E$7+WC!$E$20)/(1+D5)^3)+((IS!$F$18*(1-Assumptions!$B$20)+(-IS!$F$16)-PPE!$F$7+WC!$F$20)/(1+D5)^4)+((IS!$G$18*(1-Assumptions!$B$20)+(-IS!$G$16)-PPE!$G$7+WC!$G$20)/(1+D5)^5)+(((IS!$G$18*(1-Assumptions!$B$20)+(-IS!$G$16)-PPE!$G$7+WC!$G$20)*(1+A6)/(D5-A6))/(1+D5)^5))-Debt!$B$14)*1000/Assumptions!$B$32</f>
        <v/>
      </c>
      <c r="E6" s="25">
        <f>((((IS!$C$18*(1-Assumptions!$B$20)+(-IS!$C$16)-PPE!$C$7+WC!$C$20)/(1+E5)^1)+((IS!$D$18*(1-Assumptions!$B$20)+(-IS!$D$16)-PPE!$D$7+WC!$D$20)/(1+E5)^2)+((IS!$E$18*(1-Assumptions!$B$20)+(-IS!$E$16)-PPE!$E$7+WC!$E$20)/(1+E5)^3)+((IS!$F$18*(1-Assumptions!$B$20)+(-IS!$F$16)-PPE!$F$7+WC!$F$20)/(1+E5)^4)+((IS!$G$18*(1-Assumptions!$B$20)+(-IS!$G$16)-PPE!$G$7+WC!$G$20)/(1+E5)^5)+(((IS!$G$18*(1-Assumptions!$B$20)+(-IS!$G$16)-PPE!$G$7+WC!$G$20)*(1+A6)/(E5-A6))/(1+E5)^5))-Debt!$B$14)*1000/Assumptions!$B$32</f>
        <v/>
      </c>
      <c r="F6" s="25">
        <f>((((IS!$C$18*(1-Assumptions!$B$20)+(-IS!$C$16)-PPE!$C$7+WC!$C$20)/(1+F5)^1)+((IS!$D$18*(1-Assumptions!$B$20)+(-IS!$D$16)-PPE!$D$7+WC!$D$20)/(1+F5)^2)+((IS!$E$18*(1-Assumptions!$B$20)+(-IS!$E$16)-PPE!$E$7+WC!$E$20)/(1+F5)^3)+((IS!$F$18*(1-Assumptions!$B$20)+(-IS!$F$16)-PPE!$F$7+WC!$F$20)/(1+F5)^4)+((IS!$G$18*(1-Assumptions!$B$20)+(-IS!$G$16)-PPE!$G$7+WC!$G$20)/(1+F5)^5)+(((IS!$G$18*(1-Assumptions!$B$20)+(-IS!$G$16)-PPE!$G$7+WC!$G$20)*(1+A6)/(F5-A6))/(1+F5)^5))-Debt!$B$14)*1000/Assumptions!$B$32</f>
        <v/>
      </c>
    </row>
    <row r="7">
      <c r="A7" s="10" t="n">
        <v>0.02</v>
      </c>
      <c r="B7" s="25">
        <f>((((IS!$C$18*(1-Assumptions!$B$20)+(-IS!$C$16)-PPE!$C$7+WC!$C$20)/(1+B5)^1)+((IS!$D$18*(1-Assumptions!$B$20)+(-IS!$D$16)-PPE!$D$7+WC!$D$20)/(1+B5)^2)+((IS!$E$18*(1-Assumptions!$B$20)+(-IS!$E$16)-PPE!$E$7+WC!$E$20)/(1+B5)^3)+((IS!$F$18*(1-Assumptions!$B$20)+(-IS!$F$16)-PPE!$F$7+WC!$F$20)/(1+B5)^4)+((IS!$G$18*(1-Assumptions!$B$20)+(-IS!$G$16)-PPE!$G$7+WC!$G$20)/(1+B5)^5)+(((IS!$G$18*(1-Assumptions!$B$20)+(-IS!$G$16)-PPE!$G$7+WC!$G$20)*(1+A7)/(B5-A7))/(1+B5)^5))-Debt!$B$14)*1000/Assumptions!$B$32</f>
        <v/>
      </c>
      <c r="C7" s="25">
        <f>((((IS!$C$18*(1-Assumptions!$B$20)+(-IS!$C$16)-PPE!$C$7+WC!$C$20)/(1+C5)^1)+((IS!$D$18*(1-Assumptions!$B$20)+(-IS!$D$16)-PPE!$D$7+WC!$D$20)/(1+C5)^2)+((IS!$E$18*(1-Assumptions!$B$20)+(-IS!$E$16)-PPE!$E$7+WC!$E$20)/(1+C5)^3)+((IS!$F$18*(1-Assumptions!$B$20)+(-IS!$F$16)-PPE!$F$7+WC!$F$20)/(1+C5)^4)+((IS!$G$18*(1-Assumptions!$B$20)+(-IS!$G$16)-PPE!$G$7+WC!$G$20)/(1+C5)^5)+(((IS!$G$18*(1-Assumptions!$B$20)+(-IS!$G$16)-PPE!$G$7+WC!$G$20)*(1+A7)/(C5-A7))/(1+C5)^5))-Debt!$B$14)*1000/Assumptions!$B$32</f>
        <v/>
      </c>
      <c r="D7" s="25">
        <f>((((IS!$C$18*(1-Assumptions!$B$20)+(-IS!$C$16)-PPE!$C$7+WC!$C$20)/(1+D5)^1)+((IS!$D$18*(1-Assumptions!$B$20)+(-IS!$D$16)-PPE!$D$7+WC!$D$20)/(1+D5)^2)+((IS!$E$18*(1-Assumptions!$B$20)+(-IS!$E$16)-PPE!$E$7+WC!$E$20)/(1+D5)^3)+((IS!$F$18*(1-Assumptions!$B$20)+(-IS!$F$16)-PPE!$F$7+WC!$F$20)/(1+D5)^4)+((IS!$G$18*(1-Assumptions!$B$20)+(-IS!$G$16)-PPE!$G$7+WC!$G$20)/(1+D5)^5)+(((IS!$G$18*(1-Assumptions!$B$20)+(-IS!$G$16)-PPE!$G$7+WC!$G$20)*(1+A7)/(D5-A7))/(1+D5)^5))-Debt!$B$14)*1000/Assumptions!$B$32</f>
        <v/>
      </c>
      <c r="E7" s="25">
        <f>((((IS!$C$18*(1-Assumptions!$B$20)+(-IS!$C$16)-PPE!$C$7+WC!$C$20)/(1+E5)^1)+((IS!$D$18*(1-Assumptions!$B$20)+(-IS!$D$16)-PPE!$D$7+WC!$D$20)/(1+E5)^2)+((IS!$E$18*(1-Assumptions!$B$20)+(-IS!$E$16)-PPE!$E$7+WC!$E$20)/(1+E5)^3)+((IS!$F$18*(1-Assumptions!$B$20)+(-IS!$F$16)-PPE!$F$7+WC!$F$20)/(1+E5)^4)+((IS!$G$18*(1-Assumptions!$B$20)+(-IS!$G$16)-PPE!$G$7+WC!$G$20)/(1+E5)^5)+(((IS!$G$18*(1-Assumptions!$B$20)+(-IS!$G$16)-PPE!$G$7+WC!$G$20)*(1+A7)/(E5-A7))/(1+E5)^5))-Debt!$B$14)*1000/Assumptions!$B$32</f>
        <v/>
      </c>
      <c r="F7" s="25">
        <f>((((IS!$C$18*(1-Assumptions!$B$20)+(-IS!$C$16)-PPE!$C$7+WC!$C$20)/(1+F5)^1)+((IS!$D$18*(1-Assumptions!$B$20)+(-IS!$D$16)-PPE!$D$7+WC!$D$20)/(1+F5)^2)+((IS!$E$18*(1-Assumptions!$B$20)+(-IS!$E$16)-PPE!$E$7+WC!$E$20)/(1+F5)^3)+((IS!$F$18*(1-Assumptions!$B$20)+(-IS!$F$16)-PPE!$F$7+WC!$F$20)/(1+F5)^4)+((IS!$G$18*(1-Assumptions!$B$20)+(-IS!$G$16)-PPE!$G$7+WC!$G$20)/(1+F5)^5)+(((IS!$G$18*(1-Assumptions!$B$20)+(-IS!$G$16)-PPE!$G$7+WC!$G$20)*(1+A7)/(F5-A7))/(1+F5)^5))-Debt!$B$14)*1000/Assumptions!$B$32</f>
        <v/>
      </c>
    </row>
    <row r="8">
      <c r="A8" s="10" t="n">
        <v>0.03</v>
      </c>
      <c r="B8" s="25">
        <f>((((IS!$C$18*(1-Assumptions!$B$20)+(-IS!$C$16)-PPE!$C$7+WC!$C$20)/(1+B5)^1)+((IS!$D$18*(1-Assumptions!$B$20)+(-IS!$D$16)-PPE!$D$7+WC!$D$20)/(1+B5)^2)+((IS!$E$18*(1-Assumptions!$B$20)+(-IS!$E$16)-PPE!$E$7+WC!$E$20)/(1+B5)^3)+((IS!$F$18*(1-Assumptions!$B$20)+(-IS!$F$16)-PPE!$F$7+WC!$F$20)/(1+B5)^4)+((IS!$G$18*(1-Assumptions!$B$20)+(-IS!$G$16)-PPE!$G$7+WC!$G$20)/(1+B5)^5)+(((IS!$G$18*(1-Assumptions!$B$20)+(-IS!$G$16)-PPE!$G$7+WC!$G$20)*(1+A8)/(B5-A8))/(1+B5)^5))-Debt!$B$14)*1000/Assumptions!$B$32</f>
        <v/>
      </c>
      <c r="C8" s="25">
        <f>((((IS!$C$18*(1-Assumptions!$B$20)+(-IS!$C$16)-PPE!$C$7+WC!$C$20)/(1+C5)^1)+((IS!$D$18*(1-Assumptions!$B$20)+(-IS!$D$16)-PPE!$D$7+WC!$D$20)/(1+C5)^2)+((IS!$E$18*(1-Assumptions!$B$20)+(-IS!$E$16)-PPE!$E$7+WC!$E$20)/(1+C5)^3)+((IS!$F$18*(1-Assumptions!$B$20)+(-IS!$F$16)-PPE!$F$7+WC!$F$20)/(1+C5)^4)+((IS!$G$18*(1-Assumptions!$B$20)+(-IS!$G$16)-PPE!$G$7+WC!$G$20)/(1+C5)^5)+(((IS!$G$18*(1-Assumptions!$B$20)+(-IS!$G$16)-PPE!$G$7+WC!$G$20)*(1+A8)/(C5-A8))/(1+C5)^5))-Debt!$B$14)*1000/Assumptions!$B$32</f>
        <v/>
      </c>
      <c r="D8" s="25">
        <f>((((IS!$C$18*(1-Assumptions!$B$20)+(-IS!$C$16)-PPE!$C$7+WC!$C$20)/(1+D5)^1)+((IS!$D$18*(1-Assumptions!$B$20)+(-IS!$D$16)-PPE!$D$7+WC!$D$20)/(1+D5)^2)+((IS!$E$18*(1-Assumptions!$B$20)+(-IS!$E$16)-PPE!$E$7+WC!$E$20)/(1+D5)^3)+((IS!$F$18*(1-Assumptions!$B$20)+(-IS!$F$16)-PPE!$F$7+WC!$F$20)/(1+D5)^4)+((IS!$G$18*(1-Assumptions!$B$20)+(-IS!$G$16)-PPE!$G$7+WC!$G$20)/(1+D5)^5)+(((IS!$G$18*(1-Assumptions!$B$20)+(-IS!$G$16)-PPE!$G$7+WC!$G$20)*(1+A8)/(D5-A8))/(1+D5)^5))-Debt!$B$14)*1000/Assumptions!$B$32</f>
        <v/>
      </c>
      <c r="E8" s="25">
        <f>((((IS!$C$18*(1-Assumptions!$B$20)+(-IS!$C$16)-PPE!$C$7+WC!$C$20)/(1+E5)^1)+((IS!$D$18*(1-Assumptions!$B$20)+(-IS!$D$16)-PPE!$D$7+WC!$D$20)/(1+E5)^2)+((IS!$E$18*(1-Assumptions!$B$20)+(-IS!$E$16)-PPE!$E$7+WC!$E$20)/(1+E5)^3)+((IS!$F$18*(1-Assumptions!$B$20)+(-IS!$F$16)-PPE!$F$7+WC!$F$20)/(1+E5)^4)+((IS!$G$18*(1-Assumptions!$B$20)+(-IS!$G$16)-PPE!$G$7+WC!$G$20)/(1+E5)^5)+(((IS!$G$18*(1-Assumptions!$B$20)+(-IS!$G$16)-PPE!$G$7+WC!$G$20)*(1+A8)/(E5-A8))/(1+E5)^5))-Debt!$B$14)*1000/Assumptions!$B$32</f>
        <v/>
      </c>
      <c r="F8" s="25">
        <f>((((IS!$C$18*(1-Assumptions!$B$20)+(-IS!$C$16)-PPE!$C$7+WC!$C$20)/(1+F5)^1)+((IS!$D$18*(1-Assumptions!$B$20)+(-IS!$D$16)-PPE!$D$7+WC!$D$20)/(1+F5)^2)+((IS!$E$18*(1-Assumptions!$B$20)+(-IS!$E$16)-PPE!$E$7+WC!$E$20)/(1+F5)^3)+((IS!$F$18*(1-Assumptions!$B$20)+(-IS!$F$16)-PPE!$F$7+WC!$F$20)/(1+F5)^4)+((IS!$G$18*(1-Assumptions!$B$20)+(-IS!$G$16)-PPE!$G$7+WC!$G$20)/(1+F5)^5)+(((IS!$G$18*(1-Assumptions!$B$20)+(-IS!$G$16)-PPE!$G$7+WC!$G$20)*(1+A8)/(F5-A8))/(1+F5)^5))-Debt!$B$14)*1000/Assumptions!$B$32</f>
        <v/>
      </c>
    </row>
    <row r="9">
      <c r="A9" s="10" t="n">
        <v>0.04</v>
      </c>
      <c r="B9" s="25">
        <f>((((IS!$C$18*(1-Assumptions!$B$20)+(-IS!$C$16)-PPE!$C$7+WC!$C$20)/(1+B5)^1)+((IS!$D$18*(1-Assumptions!$B$20)+(-IS!$D$16)-PPE!$D$7+WC!$D$20)/(1+B5)^2)+((IS!$E$18*(1-Assumptions!$B$20)+(-IS!$E$16)-PPE!$E$7+WC!$E$20)/(1+B5)^3)+((IS!$F$18*(1-Assumptions!$B$20)+(-IS!$F$16)-PPE!$F$7+WC!$F$20)/(1+B5)^4)+((IS!$G$18*(1-Assumptions!$B$20)+(-IS!$G$16)-PPE!$G$7+WC!$G$20)/(1+B5)^5)+(((IS!$G$18*(1-Assumptions!$B$20)+(-IS!$G$16)-PPE!$G$7+WC!$G$20)*(1+A9)/(B5-A9))/(1+B5)^5))-Debt!$B$14)*1000/Assumptions!$B$32</f>
        <v/>
      </c>
      <c r="C9" s="25">
        <f>((((IS!$C$18*(1-Assumptions!$B$20)+(-IS!$C$16)-PPE!$C$7+WC!$C$20)/(1+C5)^1)+((IS!$D$18*(1-Assumptions!$B$20)+(-IS!$D$16)-PPE!$D$7+WC!$D$20)/(1+C5)^2)+((IS!$E$18*(1-Assumptions!$B$20)+(-IS!$E$16)-PPE!$E$7+WC!$E$20)/(1+C5)^3)+((IS!$F$18*(1-Assumptions!$B$20)+(-IS!$F$16)-PPE!$F$7+WC!$F$20)/(1+C5)^4)+((IS!$G$18*(1-Assumptions!$B$20)+(-IS!$G$16)-PPE!$G$7+WC!$G$20)/(1+C5)^5)+(((IS!$G$18*(1-Assumptions!$B$20)+(-IS!$G$16)-PPE!$G$7+WC!$G$20)*(1+A9)/(C5-A9))/(1+C5)^5))-Debt!$B$14)*1000/Assumptions!$B$32</f>
        <v/>
      </c>
      <c r="D9" s="25">
        <f>((((IS!$C$18*(1-Assumptions!$B$20)+(-IS!$C$16)-PPE!$C$7+WC!$C$20)/(1+D5)^1)+((IS!$D$18*(1-Assumptions!$B$20)+(-IS!$D$16)-PPE!$D$7+WC!$D$20)/(1+D5)^2)+((IS!$E$18*(1-Assumptions!$B$20)+(-IS!$E$16)-PPE!$E$7+WC!$E$20)/(1+D5)^3)+((IS!$F$18*(1-Assumptions!$B$20)+(-IS!$F$16)-PPE!$F$7+WC!$F$20)/(1+D5)^4)+((IS!$G$18*(1-Assumptions!$B$20)+(-IS!$G$16)-PPE!$G$7+WC!$G$20)/(1+D5)^5)+(((IS!$G$18*(1-Assumptions!$B$20)+(-IS!$G$16)-PPE!$G$7+WC!$G$20)*(1+A9)/(D5-A9))/(1+D5)^5))-Debt!$B$14)*1000/Assumptions!$B$32</f>
        <v/>
      </c>
      <c r="E9" s="25">
        <f>((((IS!$C$18*(1-Assumptions!$B$20)+(-IS!$C$16)-PPE!$C$7+WC!$C$20)/(1+E5)^1)+((IS!$D$18*(1-Assumptions!$B$20)+(-IS!$D$16)-PPE!$D$7+WC!$D$20)/(1+E5)^2)+((IS!$E$18*(1-Assumptions!$B$20)+(-IS!$E$16)-PPE!$E$7+WC!$E$20)/(1+E5)^3)+((IS!$F$18*(1-Assumptions!$B$20)+(-IS!$F$16)-PPE!$F$7+WC!$F$20)/(1+E5)^4)+((IS!$G$18*(1-Assumptions!$B$20)+(-IS!$G$16)-PPE!$G$7+WC!$G$20)/(1+E5)^5)+(((IS!$G$18*(1-Assumptions!$B$20)+(-IS!$G$16)-PPE!$G$7+WC!$G$20)*(1+A9)/(E5-A9))/(1+E5)^5))-Debt!$B$14)*1000/Assumptions!$B$32</f>
        <v/>
      </c>
      <c r="F9" s="25">
        <f>((((IS!$C$18*(1-Assumptions!$B$20)+(-IS!$C$16)-PPE!$C$7+WC!$C$20)/(1+F5)^1)+((IS!$D$18*(1-Assumptions!$B$20)+(-IS!$D$16)-PPE!$D$7+WC!$D$20)/(1+F5)^2)+((IS!$E$18*(1-Assumptions!$B$20)+(-IS!$E$16)-PPE!$E$7+WC!$E$20)/(1+F5)^3)+((IS!$F$18*(1-Assumptions!$B$20)+(-IS!$F$16)-PPE!$F$7+WC!$F$20)/(1+F5)^4)+((IS!$G$18*(1-Assumptions!$B$20)+(-IS!$G$16)-PPE!$G$7+WC!$G$20)/(1+F5)^5)+(((IS!$G$18*(1-Assumptions!$B$20)+(-IS!$G$16)-PPE!$G$7+WC!$G$20)*(1+A9)/(F5-A9))/(1+F5)^5))-Debt!$B$14)*1000/Assumptions!$B$32</f>
        <v/>
      </c>
    </row>
    <row r="12">
      <c r="A12" s="3" t="inlineStr">
        <is>
          <t>Enterprise value (SAR bn) — Y1 growth × EBITDA target margin</t>
        </is>
      </c>
    </row>
    <row r="13">
      <c r="A13" s="6" t="inlineStr">
        <is>
          <t>Growth →</t>
        </is>
      </c>
      <c r="B13" s="10" t="n">
        <v>0.02</v>
      </c>
      <c r="C13" s="10" t="n">
        <v>0.04</v>
      </c>
      <c r="D13" s="10" t="n">
        <v>0.06</v>
      </c>
      <c r="E13" s="10" t="n">
        <v>0.08</v>
      </c>
      <c r="F13" s="10" t="n">
        <v>0.1</v>
      </c>
    </row>
    <row r="14">
      <c r="A14" s="10" t="n">
        <v>0.3</v>
      </c>
      <c r="B14" s="15">
        <f>(((Assumptions!$B$5*(1+B13)^5)*(0.3-Assumptions!$B$9)*(1-Assumptions!$B$20))*5/(1+Assumptions!$B$21)^3)+((((Assumptions!$B$5*(1+B13)^5)*(0.3-Assumptions!$B$9)*(1-Assumptions!$B$20))*(1+Assumptions!$B$22)/(Assumptions!$B$21-Assumptions!$B$22))/(1+Assumptions!$B$21)^5)</f>
        <v/>
      </c>
      <c r="C14" s="15">
        <f>(((Assumptions!$B$5*(1+C13)^5)*(0.3-Assumptions!$B$9)*(1-Assumptions!$B$20))*5/(1+Assumptions!$B$21)^3)+((((Assumptions!$B$5*(1+C13)^5)*(0.3-Assumptions!$B$9)*(1-Assumptions!$B$20))*(1+Assumptions!$B$22)/(Assumptions!$B$21-Assumptions!$B$22))/(1+Assumptions!$B$21)^5)</f>
        <v/>
      </c>
      <c r="D14" s="15">
        <f>(((Assumptions!$B$5*(1+D13)^5)*(0.3-Assumptions!$B$9)*(1-Assumptions!$B$20))*5/(1+Assumptions!$B$21)^3)+((((Assumptions!$B$5*(1+D13)^5)*(0.3-Assumptions!$B$9)*(1-Assumptions!$B$20))*(1+Assumptions!$B$22)/(Assumptions!$B$21-Assumptions!$B$22))/(1+Assumptions!$B$21)^5)</f>
        <v/>
      </c>
      <c r="E14" s="15">
        <f>(((Assumptions!$B$5*(1+E13)^5)*(0.3-Assumptions!$B$9)*(1-Assumptions!$B$20))*5/(1+Assumptions!$B$21)^3)+((((Assumptions!$B$5*(1+E13)^5)*(0.3-Assumptions!$B$9)*(1-Assumptions!$B$20))*(1+Assumptions!$B$22)/(Assumptions!$B$21-Assumptions!$B$22))/(1+Assumptions!$B$21)^5)</f>
        <v/>
      </c>
      <c r="F14" s="15">
        <f>(((Assumptions!$B$5*(1+F13)^5)*(0.3-Assumptions!$B$9)*(1-Assumptions!$B$20))*5/(1+Assumptions!$B$21)^3)+((((Assumptions!$B$5*(1+F13)^5)*(0.3-Assumptions!$B$9)*(1-Assumptions!$B$20))*(1+Assumptions!$B$22)/(Assumptions!$B$21-Assumptions!$B$22))/(1+Assumptions!$B$21)^5)</f>
        <v/>
      </c>
    </row>
    <row r="15">
      <c r="A15" s="10" t="n">
        <v>0.33</v>
      </c>
      <c r="B15" s="15">
        <f>(((Assumptions!$B$5*(1+B13)^5)*(0.33-Assumptions!$B$9)*(1-Assumptions!$B$20))*5/(1+Assumptions!$B$21)^3)+((((Assumptions!$B$5*(1+B13)^5)*(0.33-Assumptions!$B$9)*(1-Assumptions!$B$20))*(1+Assumptions!$B$22)/(Assumptions!$B$21-Assumptions!$B$22))/(1+Assumptions!$B$21)^5)</f>
        <v/>
      </c>
      <c r="C15" s="15">
        <f>(((Assumptions!$B$5*(1+C13)^5)*(0.33-Assumptions!$B$9)*(1-Assumptions!$B$20))*5/(1+Assumptions!$B$21)^3)+((((Assumptions!$B$5*(1+C13)^5)*(0.33-Assumptions!$B$9)*(1-Assumptions!$B$20))*(1+Assumptions!$B$22)/(Assumptions!$B$21-Assumptions!$B$22))/(1+Assumptions!$B$21)^5)</f>
        <v/>
      </c>
      <c r="D15" s="15">
        <f>(((Assumptions!$B$5*(1+D13)^5)*(0.33-Assumptions!$B$9)*(1-Assumptions!$B$20))*5/(1+Assumptions!$B$21)^3)+((((Assumptions!$B$5*(1+D13)^5)*(0.33-Assumptions!$B$9)*(1-Assumptions!$B$20))*(1+Assumptions!$B$22)/(Assumptions!$B$21-Assumptions!$B$22))/(1+Assumptions!$B$21)^5)</f>
        <v/>
      </c>
      <c r="E15" s="15">
        <f>(((Assumptions!$B$5*(1+E13)^5)*(0.33-Assumptions!$B$9)*(1-Assumptions!$B$20))*5/(1+Assumptions!$B$21)^3)+((((Assumptions!$B$5*(1+E13)^5)*(0.33-Assumptions!$B$9)*(1-Assumptions!$B$20))*(1+Assumptions!$B$22)/(Assumptions!$B$21-Assumptions!$B$22))/(1+Assumptions!$B$21)^5)</f>
        <v/>
      </c>
      <c r="F15" s="15">
        <f>(((Assumptions!$B$5*(1+F13)^5)*(0.33-Assumptions!$B$9)*(1-Assumptions!$B$20))*5/(1+Assumptions!$B$21)^3)+((((Assumptions!$B$5*(1+F13)^5)*(0.33-Assumptions!$B$9)*(1-Assumptions!$B$20))*(1+Assumptions!$B$22)/(Assumptions!$B$21-Assumptions!$B$22))/(1+Assumptions!$B$21)^5)</f>
        <v/>
      </c>
    </row>
    <row r="16">
      <c r="A16" s="10" t="n">
        <v>0.36</v>
      </c>
      <c r="B16" s="15">
        <f>(((Assumptions!$B$5*(1+B13)^5)*(0.36-Assumptions!$B$9)*(1-Assumptions!$B$20))*5/(1+Assumptions!$B$21)^3)+((((Assumptions!$B$5*(1+B13)^5)*(0.36-Assumptions!$B$9)*(1-Assumptions!$B$20))*(1+Assumptions!$B$22)/(Assumptions!$B$21-Assumptions!$B$22))/(1+Assumptions!$B$21)^5)</f>
        <v/>
      </c>
      <c r="C16" s="15">
        <f>(((Assumptions!$B$5*(1+C13)^5)*(0.36-Assumptions!$B$9)*(1-Assumptions!$B$20))*5/(1+Assumptions!$B$21)^3)+((((Assumptions!$B$5*(1+C13)^5)*(0.36-Assumptions!$B$9)*(1-Assumptions!$B$20))*(1+Assumptions!$B$22)/(Assumptions!$B$21-Assumptions!$B$22))/(1+Assumptions!$B$21)^5)</f>
        <v/>
      </c>
      <c r="D16" s="15">
        <f>(((Assumptions!$B$5*(1+D13)^5)*(0.36-Assumptions!$B$9)*(1-Assumptions!$B$20))*5/(1+Assumptions!$B$21)^3)+((((Assumptions!$B$5*(1+D13)^5)*(0.36-Assumptions!$B$9)*(1-Assumptions!$B$20))*(1+Assumptions!$B$22)/(Assumptions!$B$21-Assumptions!$B$22))/(1+Assumptions!$B$21)^5)</f>
        <v/>
      </c>
      <c r="E16" s="15">
        <f>(((Assumptions!$B$5*(1+E13)^5)*(0.36-Assumptions!$B$9)*(1-Assumptions!$B$20))*5/(1+Assumptions!$B$21)^3)+((((Assumptions!$B$5*(1+E13)^5)*(0.36-Assumptions!$B$9)*(1-Assumptions!$B$20))*(1+Assumptions!$B$22)/(Assumptions!$B$21-Assumptions!$B$22))/(1+Assumptions!$B$21)^5)</f>
        <v/>
      </c>
      <c r="F16" s="15">
        <f>(((Assumptions!$B$5*(1+F13)^5)*(0.36-Assumptions!$B$9)*(1-Assumptions!$B$20))*5/(1+Assumptions!$B$21)^3)+((((Assumptions!$B$5*(1+F13)^5)*(0.36-Assumptions!$B$9)*(1-Assumptions!$B$20))*(1+Assumptions!$B$22)/(Assumptions!$B$21-Assumptions!$B$22))/(1+Assumptions!$B$21)^5)</f>
        <v/>
      </c>
    </row>
    <row r="17">
      <c r="A17" s="10" t="n">
        <v>0.39</v>
      </c>
      <c r="B17" s="15">
        <f>(((Assumptions!$B$5*(1+B13)^5)*(0.39-Assumptions!$B$9)*(1-Assumptions!$B$20))*5/(1+Assumptions!$B$21)^3)+((((Assumptions!$B$5*(1+B13)^5)*(0.39-Assumptions!$B$9)*(1-Assumptions!$B$20))*(1+Assumptions!$B$22)/(Assumptions!$B$21-Assumptions!$B$22))/(1+Assumptions!$B$21)^5)</f>
        <v/>
      </c>
      <c r="C17" s="15">
        <f>(((Assumptions!$B$5*(1+C13)^5)*(0.39-Assumptions!$B$9)*(1-Assumptions!$B$20))*5/(1+Assumptions!$B$21)^3)+((((Assumptions!$B$5*(1+C13)^5)*(0.39-Assumptions!$B$9)*(1-Assumptions!$B$20))*(1+Assumptions!$B$22)/(Assumptions!$B$21-Assumptions!$B$22))/(1+Assumptions!$B$21)^5)</f>
        <v/>
      </c>
      <c r="D17" s="15">
        <f>(((Assumptions!$B$5*(1+D13)^5)*(0.39-Assumptions!$B$9)*(1-Assumptions!$B$20))*5/(1+Assumptions!$B$21)^3)+((((Assumptions!$B$5*(1+D13)^5)*(0.39-Assumptions!$B$9)*(1-Assumptions!$B$20))*(1+Assumptions!$B$22)/(Assumptions!$B$21-Assumptions!$B$22))/(1+Assumptions!$B$21)^5)</f>
        <v/>
      </c>
      <c r="E17" s="15">
        <f>(((Assumptions!$B$5*(1+E13)^5)*(0.39-Assumptions!$B$9)*(1-Assumptions!$B$20))*5/(1+Assumptions!$B$21)^3)+((((Assumptions!$B$5*(1+E13)^5)*(0.39-Assumptions!$B$9)*(1-Assumptions!$B$20))*(1+Assumptions!$B$22)/(Assumptions!$B$21-Assumptions!$B$22))/(1+Assumptions!$B$21)^5)</f>
        <v/>
      </c>
      <c r="F17" s="15">
        <f>(((Assumptions!$B$5*(1+F13)^5)*(0.39-Assumptions!$B$9)*(1-Assumptions!$B$20))*5/(1+Assumptions!$B$21)^3)+((((Assumptions!$B$5*(1+F13)^5)*(0.39-Assumptions!$B$9)*(1-Assumptions!$B$20))*(1+Assumptions!$B$22)/(Assumptions!$B$21-Assumptions!$B$22))/(1+Assumptions!$B$21)^5)</f>
        <v/>
      </c>
    </row>
    <row r="18">
      <c r="A18" s="10" t="n">
        <v>0.42</v>
      </c>
      <c r="B18" s="15">
        <f>(((Assumptions!$B$5*(1+B13)^5)*(0.42-Assumptions!$B$9)*(1-Assumptions!$B$20))*5/(1+Assumptions!$B$21)^3)+((((Assumptions!$B$5*(1+B13)^5)*(0.42-Assumptions!$B$9)*(1-Assumptions!$B$20))*(1+Assumptions!$B$22)/(Assumptions!$B$21-Assumptions!$B$22))/(1+Assumptions!$B$21)^5)</f>
        <v/>
      </c>
      <c r="C18" s="15">
        <f>(((Assumptions!$B$5*(1+C13)^5)*(0.42-Assumptions!$B$9)*(1-Assumptions!$B$20))*5/(1+Assumptions!$B$21)^3)+((((Assumptions!$B$5*(1+C13)^5)*(0.42-Assumptions!$B$9)*(1-Assumptions!$B$20))*(1+Assumptions!$B$22)/(Assumptions!$B$21-Assumptions!$B$22))/(1+Assumptions!$B$21)^5)</f>
        <v/>
      </c>
      <c r="D18" s="15">
        <f>(((Assumptions!$B$5*(1+D13)^5)*(0.42-Assumptions!$B$9)*(1-Assumptions!$B$20))*5/(1+Assumptions!$B$21)^3)+((((Assumptions!$B$5*(1+D13)^5)*(0.42-Assumptions!$B$9)*(1-Assumptions!$B$20))*(1+Assumptions!$B$22)/(Assumptions!$B$21-Assumptions!$B$22))/(1+Assumptions!$B$21)^5)</f>
        <v/>
      </c>
      <c r="E18" s="15">
        <f>(((Assumptions!$B$5*(1+E13)^5)*(0.42-Assumptions!$B$9)*(1-Assumptions!$B$20))*5/(1+Assumptions!$B$21)^3)+((((Assumptions!$B$5*(1+E13)^5)*(0.42-Assumptions!$B$9)*(1-Assumptions!$B$20))*(1+Assumptions!$B$22)/(Assumptions!$B$21-Assumptions!$B$22))/(1+Assumptions!$B$21)^5)</f>
        <v/>
      </c>
      <c r="F18" s="15">
        <f>(((Assumptions!$B$5*(1+F13)^5)*(0.42-Assumptions!$B$9)*(1-Assumptions!$B$20))*5/(1+Assumptions!$B$21)^3)+((((Assumptions!$B$5*(1+F13)^5)*(0.42-Assumptions!$B$9)*(1-Assumptions!$B$20))*(1+Assumptions!$B$22)/(Assumptions!$B$21-Assumptions!$B$22))/(1+Assumptions!$B$21)^5)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DCF VALUATION</t>
        </is>
      </c>
    </row>
    <row r="2">
      <c r="A2" s="2" t="inlineStr">
        <is>
          <t>Free cash flow to firm (FCFF), discounted at WACC. Terminal value via Gordon growth.</t>
        </is>
      </c>
    </row>
    <row r="4">
      <c r="A4" s="13" t="n"/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6" t="inlineStr">
        <is>
          <t>EBIT (from IS)</t>
        </is>
      </c>
      <c r="C6" s="15">
        <f>IS!$C$18</f>
        <v/>
      </c>
      <c r="D6" s="15">
        <f>IS!$D$18</f>
        <v/>
      </c>
      <c r="E6" s="15">
        <f>IS!$E$18</f>
        <v/>
      </c>
      <c r="F6" s="15">
        <f>IS!$F$18</f>
        <v/>
      </c>
      <c r="G6" s="15">
        <f>IS!$G$18</f>
        <v/>
      </c>
    </row>
    <row r="7">
      <c r="A7" s="6" t="inlineStr">
        <is>
          <t>× (1 − tax)</t>
        </is>
      </c>
      <c r="C7" s="15">
        <f>C6*(1-Assumptions!$B$20)</f>
        <v/>
      </c>
      <c r="D7" s="15">
        <f>D6*(1-Assumptions!$B$20)</f>
        <v/>
      </c>
      <c r="E7" s="15">
        <f>E6*(1-Assumptions!$B$20)</f>
        <v/>
      </c>
      <c r="F7" s="15">
        <f>F6*(1-Assumptions!$B$20)</f>
        <v/>
      </c>
      <c r="G7" s="15">
        <f>G6*(1-Assumptions!$B$20)</f>
        <v/>
      </c>
    </row>
    <row r="8">
      <c r="A8" s="6" t="inlineStr">
        <is>
          <t>+ D&amp;A (non-cash addback)</t>
        </is>
      </c>
      <c r="C8" s="15">
        <f>-IS!$C$16</f>
        <v/>
      </c>
      <c r="D8" s="15">
        <f>-IS!$D$16</f>
        <v/>
      </c>
      <c r="E8" s="15">
        <f>-IS!$E$16</f>
        <v/>
      </c>
      <c r="F8" s="15">
        <f>-IS!$F$16</f>
        <v/>
      </c>
      <c r="G8" s="15">
        <f>-IS!$G$16</f>
        <v/>
      </c>
    </row>
    <row r="9">
      <c r="A9" s="6" t="inlineStr">
        <is>
          <t>− Capex</t>
        </is>
      </c>
      <c r="C9" s="15">
        <f>-PPE!$C$7</f>
        <v/>
      </c>
      <c r="D9" s="15">
        <f>-PPE!$D$7</f>
        <v/>
      </c>
      <c r="E9" s="15">
        <f>-PPE!$E$7</f>
        <v/>
      </c>
      <c r="F9" s="15">
        <f>-PPE!$F$7</f>
        <v/>
      </c>
      <c r="G9" s="15">
        <f>-PPE!$G$7</f>
        <v/>
      </c>
    </row>
    <row r="10">
      <c r="A10" s="6" t="inlineStr">
        <is>
          <t>+/− Δ working capital</t>
        </is>
      </c>
      <c r="C10" s="15">
        <f>WC!$C$20</f>
        <v/>
      </c>
      <c r="D10" s="15">
        <f>WC!$D$20</f>
        <v/>
      </c>
      <c r="E10" s="15">
        <f>WC!$E$20</f>
        <v/>
      </c>
      <c r="F10" s="15">
        <f>WC!$F$20</f>
        <v/>
      </c>
      <c r="G10" s="15">
        <f>WC!$G$20</f>
        <v/>
      </c>
    </row>
    <row r="11">
      <c r="A11" s="17" t="inlineStr">
        <is>
          <t>FCFF</t>
        </is>
      </c>
      <c r="C11" s="18">
        <f>C7+C8+C9+C10</f>
        <v/>
      </c>
      <c r="D11" s="18">
        <f>D7+D8+D9+D10</f>
        <v/>
      </c>
      <c r="E11" s="18">
        <f>E7+E8+E9+E10</f>
        <v/>
      </c>
      <c r="F11" s="18">
        <f>F7+F8+F9+F10</f>
        <v/>
      </c>
      <c r="G11" s="18">
        <f>G7+G8+G9+G10</f>
        <v/>
      </c>
    </row>
    <row r="13">
      <c r="A13" s="6" t="inlineStr">
        <is>
          <t>Discount factor (1/(1+WACC)^t)</t>
        </is>
      </c>
      <c r="C13" s="26">
        <f>1/(1+Assumptions!$B$21)^1</f>
        <v/>
      </c>
      <c r="D13" s="26">
        <f>1/(1+Assumptions!$B$21)^2</f>
        <v/>
      </c>
      <c r="E13" s="26">
        <f>1/(1+Assumptions!$B$21)^3</f>
        <v/>
      </c>
      <c r="F13" s="26">
        <f>1/(1+Assumptions!$B$21)^4</f>
        <v/>
      </c>
      <c r="G13" s="26">
        <f>1/(1+Assumptions!$B$21)^5</f>
        <v/>
      </c>
    </row>
    <row r="14">
      <c r="A14" s="5" t="inlineStr">
        <is>
          <t>PV of FCFF</t>
        </is>
      </c>
      <c r="C14" s="21">
        <f>C11*C13</f>
        <v/>
      </c>
      <c r="D14" s="21">
        <f>D11*D13</f>
        <v/>
      </c>
      <c r="E14" s="21">
        <f>E11*E13</f>
        <v/>
      </c>
      <c r="F14" s="21">
        <f>F11*F13</f>
        <v/>
      </c>
      <c r="G14" s="21">
        <f>G11*G13</f>
        <v/>
      </c>
    </row>
    <row r="16">
      <c r="A16" s="5" t="inlineStr">
        <is>
          <t>Sum PV (explicit Y1-Y5)</t>
        </is>
      </c>
      <c r="B16" s="21">
        <f>SUM(C14:G14)</f>
        <v/>
      </c>
    </row>
    <row r="17">
      <c r="A17" s="6" t="inlineStr">
        <is>
          <t>Terminal value (Gordon)</t>
        </is>
      </c>
      <c r="B17" s="15">
        <f>G11*(1+Assumptions!$B$22)/(Assumptions!$B$21-Assumptions!$B$22)</f>
        <v/>
      </c>
    </row>
    <row r="18">
      <c r="A18" s="5" t="inlineStr">
        <is>
          <t>PV of terminal value</t>
        </is>
      </c>
      <c r="B18" s="21">
        <f>B17*G13</f>
        <v/>
      </c>
    </row>
    <row r="20">
      <c r="A20" s="17" t="inlineStr">
        <is>
          <t>ENTERPRISE VALUE</t>
        </is>
      </c>
      <c r="B20" s="18">
        <f>B16+B18</f>
        <v/>
      </c>
    </row>
    <row r="21">
      <c r="A21" s="6" t="inlineStr">
        <is>
          <t>− Net debt (Y0)</t>
        </is>
      </c>
      <c r="B21" s="15">
        <f>-Debt!$B$14</f>
        <v/>
      </c>
    </row>
    <row r="22">
      <c r="A22" s="17" t="inlineStr">
        <is>
          <t>EQUITY VALUE</t>
        </is>
      </c>
      <c r="B22" s="18">
        <f>B20+B21</f>
        <v/>
      </c>
    </row>
    <row r="23">
      <c r="A23" s="17" t="inlineStr">
        <is>
          <t>Per-share value (SAR)</t>
        </is>
      </c>
      <c r="B23" s="27">
        <f>B22*1000/Assumptions!$B$32</f>
        <v/>
      </c>
    </row>
    <row r="25">
      <c r="A25" s="3" t="inlineStr">
        <is>
          <t>Cross-checks</t>
        </is>
      </c>
    </row>
    <row r="26">
      <c r="A26" s="6" t="inlineStr">
        <is>
          <t>Implied FY+1 EV/EBITDA</t>
        </is>
      </c>
      <c r="B26" s="28">
        <f>B20/IS!$C$14</f>
        <v/>
      </c>
    </row>
    <row r="27">
      <c r="A27" s="6" t="inlineStr">
        <is>
          <t>Implied FY+1 EV/EBIT</t>
        </is>
      </c>
      <c r="B27" s="28">
        <f>B20/IS!$C$18</f>
        <v/>
      </c>
    </row>
    <row r="28">
      <c r="A28" s="6" t="inlineStr">
        <is>
          <t>Implied FY+1 P/E</t>
        </is>
      </c>
      <c r="B28" s="28">
        <f>B22/IS!$C$26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3" t="inlineStr">
        <is>
          <t>MODEL INTEGRITY CHECKS</t>
        </is>
      </c>
    </row>
    <row r="2">
      <c r="A2" s="2" t="inlineStr">
        <is>
          <t>All checks should evaluate to PASS. Tolerance is 0.01 (SAR 10 million).</t>
        </is>
      </c>
    </row>
    <row r="4">
      <c r="A4" s="13" t="n"/>
      <c r="B4" s="14" t="inlineStr">
        <is>
          <t>Y0 (base)</t>
        </is>
      </c>
      <c r="C4" s="14" t="inlineStr">
        <is>
          <t>Y1</t>
        </is>
      </c>
      <c r="D4" s="14" t="inlineStr">
        <is>
          <t>Y2</t>
        </is>
      </c>
      <c r="E4" s="14" t="inlineStr">
        <is>
          <t>Y3</t>
        </is>
      </c>
      <c r="F4" s="14" t="inlineStr">
        <is>
          <t>Y4</t>
        </is>
      </c>
      <c r="G4" s="14" t="inlineStr">
        <is>
          <t>Y5</t>
        </is>
      </c>
    </row>
    <row r="6">
      <c r="A6" s="6" t="inlineStr">
        <is>
          <t>1. Balance sheet balances (A − L − E)</t>
        </is>
      </c>
      <c r="B6" s="29">
        <f>IF(ABS(BS!B44)&lt;0.01,"PASS","FAIL: "&amp;TEXT(BS!B44,"+0.00;-0.00"))</f>
        <v/>
      </c>
      <c r="C6" s="29">
        <f>IF(ABS(BS!C44)&lt;0.01,"PASS","FAIL: "&amp;TEXT(BS!C44,"+0.00;-0.00"))</f>
        <v/>
      </c>
      <c r="D6" s="29">
        <f>IF(ABS(BS!D44)&lt;0.01,"PASS","FAIL: "&amp;TEXT(BS!D44,"+0.00;-0.00"))</f>
        <v/>
      </c>
      <c r="E6" s="29">
        <f>IF(ABS(BS!E44)&lt;0.01,"PASS","FAIL: "&amp;TEXT(BS!E44,"+0.00;-0.00"))</f>
        <v/>
      </c>
      <c r="F6" s="29">
        <f>IF(ABS(BS!F44)&lt;0.01,"PASS","FAIL: "&amp;TEXT(BS!F44,"+0.00;-0.00"))</f>
        <v/>
      </c>
      <c r="G6" s="29">
        <f>IF(ABS(BS!G44)&lt;0.01,"PASS","FAIL: "&amp;TEXT(BS!G44,"+0.00;-0.00"))</f>
        <v/>
      </c>
    </row>
    <row r="7">
      <c r="A7" s="6" t="inlineStr">
        <is>
          <t>2. BS cash = CFS rollforward</t>
        </is>
      </c>
      <c r="C7" s="29">
        <f>IF(ABS(BS!C7-CFS!C24)&lt;0.01,"PASS","FAIL")</f>
        <v/>
      </c>
      <c r="D7" s="29">
        <f>IF(ABS(BS!D7-CFS!D24)&lt;0.01,"PASS","FAIL")</f>
        <v/>
      </c>
      <c r="E7" s="29">
        <f>IF(ABS(BS!E7-CFS!E24)&lt;0.01,"PASS","FAIL")</f>
        <v/>
      </c>
      <c r="F7" s="29">
        <f>IF(ABS(BS!F7-CFS!F24)&lt;0.01,"PASS","FAIL")</f>
        <v/>
      </c>
      <c r="G7" s="29">
        <f>IF(ABS(BS!G7-CFS!G24)&lt;0.01,"PASS","FAIL")</f>
        <v/>
      </c>
    </row>
    <row r="8">
      <c r="A8" s="6" t="inlineStr">
        <is>
          <t>3. Equity rollforward = BS equity</t>
        </is>
      </c>
      <c r="B8" s="29">
        <f>IF(ABS(Equity!B15-BS!B42)&lt;0.01,"PASS","FAIL")</f>
        <v/>
      </c>
      <c r="C8" s="29">
        <f>IF(ABS(Equity!C15-BS!C42)&lt;0.01,"PASS","FAIL")</f>
        <v/>
      </c>
      <c r="D8" s="29">
        <f>IF(ABS(Equity!D15-BS!D42)&lt;0.01,"PASS","FAIL")</f>
        <v/>
      </c>
      <c r="E8" s="29">
        <f>IF(ABS(Equity!E15-BS!E42)&lt;0.01,"PASS","FAIL")</f>
        <v/>
      </c>
      <c r="F8" s="29">
        <f>IF(ABS(Equity!F15-BS!F42)&lt;0.01,"PASS","FAIL")</f>
        <v/>
      </c>
      <c r="G8" s="29">
        <f>IF(ABS(Equity!G15-BS!G42)&lt;0.01,"PASS","FAIL")</f>
        <v/>
      </c>
    </row>
    <row r="9">
      <c r="A9" s="6" t="inlineStr">
        <is>
          <t>4. Cash balance ≥ 0</t>
        </is>
      </c>
      <c r="B9" s="29">
        <f>IF(BS!B7&gt;=0,"PASS","FAIL (negative)")</f>
        <v/>
      </c>
      <c r="C9" s="29">
        <f>IF(BS!C7&gt;=0,"PASS","FAIL (negative)")</f>
        <v/>
      </c>
      <c r="D9" s="29">
        <f>IF(BS!D7&gt;=0,"PASS","FAIL (negative)")</f>
        <v/>
      </c>
      <c r="E9" s="29">
        <f>IF(BS!E7&gt;=0,"PASS","FAIL (negative)")</f>
        <v/>
      </c>
      <c r="F9" s="29">
        <f>IF(BS!F7&gt;=0,"PASS","FAIL (negative)")</f>
        <v/>
      </c>
      <c r="G9" s="29">
        <f>IF(BS!G7&gt;=0,"PASS","FAIL (negative)")</f>
        <v/>
      </c>
    </row>
    <row r="10">
      <c r="A10" s="6" t="inlineStr">
        <is>
          <t>5. Net income positive</t>
        </is>
      </c>
      <c r="C10" s="29">
        <f>IF(IS!$C$26&gt;0,"PASS","WARNING")</f>
        <v/>
      </c>
      <c r="D10" s="29">
        <f>IF(IS!$D$26&gt;0,"PASS","WARNING")</f>
        <v/>
      </c>
      <c r="E10" s="29">
        <f>IF(IS!$E$26&gt;0,"PASS","WARNING")</f>
        <v/>
      </c>
      <c r="F10" s="29">
        <f>IF(IS!$F$26&gt;0,"PASS","WARNING")</f>
        <v/>
      </c>
      <c r="G10" s="29">
        <f>IF(IS!$G$26&gt;0,"PASS","WARNING")</f>
        <v/>
      </c>
    </row>
  </sheetData>
  <conditionalFormatting sqref="B6:G10">
    <cfRule type="cellIs" priority="1" operator="equal" dxfId="0">
      <formula>"PASS"</formula>
    </cfRule>
    <cfRule type="expression" priority="2" dxfId="1">
      <formula>AND(B6&lt;&gt;"PASS",B6&lt;&gt;"")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2026-05-24T16:49:25Z</dcterms:created>
  <dcterms:modified xmlns:dcterms="http://purl.org/dc/terms/" xmlns:xsi="http://www.w3.org/2001/XMLSchema-instance" xsi:type="dcterms:W3CDTF">2026-05-24T16:49:25Z</dcterms:modified>
</cp:coreProperties>
</file>