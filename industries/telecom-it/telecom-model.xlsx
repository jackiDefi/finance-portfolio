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orecast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[Red]-#,##0.0"/>
    <numFmt numFmtId="165" formatCode="0.0%;[Red]-0.0%"/>
    <numFmt numFmtId="166" formatCode="0.00&quot;x&quot;"/>
    <numFmt numFmtId="167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000A1828"/>
      <sz val="18"/>
    </font>
    <font>
      <name val="Calibri"/>
      <i val="1"/>
      <color rgb="005A6573"/>
      <sz val="10"/>
    </font>
    <font>
      <name val="Calibri"/>
      <b val="1"/>
      <color rgb="00B87333"/>
      <sz val="10"/>
    </font>
    <font>
      <name val="Calibri"/>
      <color rgb="00000000"/>
      <sz val="11"/>
      <u val="single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color rgb="000563C1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A1828"/>
      </patternFill>
    </fill>
    <fill>
      <patternFill patternType="solid">
        <fgColor rgb="00F1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0" fontId="0" fillId="2" borderId="0" pivotButton="0" quotePrefix="0" xfId="0"/>
    <xf numFmtId="0" fontId="8" fillId="2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0" fontId="5" fillId="3" borderId="0" pivotButton="0" quotePrefix="0" xfId="0"/>
    <xf numFmtId="164" fontId="5" fillId="3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2" fontId="5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3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36" customWidth="1" min="3" max="3"/>
  </cols>
  <sheetData>
    <row r="2">
      <c r="B2" s="1" t="inlineStr">
        <is>
          <t>Telecom &amp; IT — Operating Model</t>
        </is>
      </c>
    </row>
    <row r="3">
      <c r="B3" s="2" t="inlineStr">
        <is>
          <t>Author: Togrul Mirzayev   •   Generated: 2026-05-24</t>
        </is>
      </c>
    </row>
    <row r="5">
      <c r="B5" s="3" t="inlineStr">
        <is>
          <t>PORTFOLIO</t>
        </is>
      </c>
    </row>
    <row r="6">
      <c r="B6" s="4" t="inlineStr">
        <is>
          <t>https://jackidefi.github.io/finance-portfolio/</t>
        </is>
      </c>
    </row>
    <row r="8">
      <c r="B8" s="3" t="inlineStr">
        <is>
          <t>STRUCTURE</t>
        </is>
      </c>
    </row>
    <row r="9">
      <c r="B9" s="5" t="inlineStr">
        <is>
          <t>Inputs</t>
        </is>
      </c>
      <c r="C9" s="6" t="inlineStr">
        <is>
          <t>All drivers in one place. Blue cells are hard-coded; change anything here.</t>
        </is>
      </c>
    </row>
    <row r="10">
      <c r="B10" s="5" t="inlineStr">
        <is>
          <t>Forecast</t>
        </is>
      </c>
      <c r="C10" s="6" t="inlineStr">
        <is>
          <t>5-year P&amp;L and FCF build, fully formula-driven from Inputs.</t>
        </is>
      </c>
    </row>
    <row r="11">
      <c r="B11" s="5" t="inlineStr">
        <is>
          <t>Valuation</t>
        </is>
      </c>
      <c r="C11" s="6" t="inlineStr">
        <is>
          <t>DCF, terminal value, EV, equity, per-share.</t>
        </is>
      </c>
    </row>
    <row r="13">
      <c r="B13" s="3" t="inlineStr">
        <is>
          <t>COLOUR LEGEND</t>
        </is>
      </c>
    </row>
    <row r="14">
      <c r="B14" s="7" t="inlineStr">
        <is>
          <t>Blue text</t>
        </is>
      </c>
      <c r="C14" s="6" t="inlineStr">
        <is>
          <t>Hard-coded input — change freely</t>
        </is>
      </c>
    </row>
    <row r="15">
      <c r="B15" s="6" t="inlineStr">
        <is>
          <t>Black text</t>
        </is>
      </c>
      <c r="C15" s="6" t="inlineStr">
        <is>
          <t>Formula referencing other cells</t>
        </is>
      </c>
    </row>
    <row r="16">
      <c r="B16" s="5" t="inlineStr">
        <is>
          <t>Bold</t>
        </is>
      </c>
      <c r="C16" s="6" t="inlineStr">
        <is>
          <t>Subtotal or model output</t>
        </is>
      </c>
    </row>
    <row r="18">
      <c r="B18" s="3" t="inlineStr">
        <is>
          <t>NOTES</t>
        </is>
      </c>
    </row>
    <row r="19">
      <c r="B19" s="6" t="inlineStr">
        <is>
          <t>•  Default values mirror the interactive model on the website and roughly approximate STC (Tadawul: 7010).</t>
        </is>
      </c>
    </row>
    <row r="20">
      <c r="B20" s="6" t="inlineStr">
        <is>
          <t>•  Interest expense is simplified: cost of debt × Year 0 net debt, held flat across all five years.</t>
        </is>
      </c>
    </row>
    <row r="21">
      <c r="B21" s="6" t="inlineStr">
        <is>
          <t>•  Working capital absorbs 2% of incremental revenue — used as a simplifying placeholder.</t>
        </is>
      </c>
    </row>
    <row r="22">
      <c r="B22" s="6" t="inlineStr">
        <is>
          <t>•  Terminal value uses Gordon growth: FCFF_Y5 × (1+g) ÷ (WACC − g).</t>
        </is>
      </c>
    </row>
    <row r="23">
      <c r="B23" s="6" t="inlineStr">
        <is>
          <t>•  FCFF = NOPAT + D&amp;A − Capex − ΔWC (pre-financing).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0" customWidth="1" min="3" max="3"/>
  </cols>
  <sheetData>
    <row r="1">
      <c r="A1" s="3" t="inlineStr">
        <is>
          <t>INPUTS</t>
        </is>
      </c>
    </row>
    <row r="3">
      <c r="A3" s="3" t="inlineStr">
        <is>
          <t>Operating drivers</t>
        </is>
      </c>
    </row>
    <row r="5">
      <c r="A5" s="6" t="inlineStr">
        <is>
          <t>Service revenue Y0 (SAR bn)</t>
        </is>
      </c>
      <c r="B5" s="8" t="n">
        <v>75</v>
      </c>
      <c r="C5" s="2" t="inlineStr">
        <is>
          <t>Year 0 baseline; bump for larger/smaller operators</t>
        </is>
      </c>
    </row>
    <row r="6">
      <c r="A6" s="6" t="inlineStr">
        <is>
          <t>Revenue growth (annual)</t>
        </is>
      </c>
      <c r="B6" s="9" t="n">
        <v>0.06</v>
      </c>
      <c r="C6" s="2" t="inlineStr">
        <is>
          <t>Applied to every forecast year</t>
        </is>
      </c>
    </row>
    <row r="7">
      <c r="A7" s="6" t="inlineStr">
        <is>
          <t>EBITDA margin</t>
        </is>
      </c>
      <c r="B7" s="9" t="n">
        <v>0.36</v>
      </c>
      <c r="C7" s="2" t="inlineStr">
        <is>
          <t>Post-IFRS 16; held flat across the explicit period</t>
        </is>
      </c>
    </row>
    <row r="8">
      <c r="A8" s="6" t="inlineStr">
        <is>
          <t>D&amp;A / revenue</t>
        </is>
      </c>
      <c r="B8" s="9" t="n">
        <v>0.16</v>
      </c>
      <c r="C8" s="2" t="inlineStr">
        <is>
          <t>Reflects asset base; held flat</t>
        </is>
      </c>
    </row>
    <row r="9">
      <c r="A9" s="6" t="inlineStr">
        <is>
          <t>Capex intensity</t>
        </is>
      </c>
      <c r="B9" s="9" t="n">
        <v>0.18</v>
      </c>
      <c r="C9" s="2" t="inlineStr">
        <is>
          <t>Capex ÷ revenue</t>
        </is>
      </c>
    </row>
    <row r="11">
      <c r="A11" s="3" t="inlineStr">
        <is>
          <t>Financial drivers</t>
        </is>
      </c>
    </row>
    <row r="12">
      <c r="A12" s="6" t="inlineStr">
        <is>
          <t>Tax / zakat rate</t>
        </is>
      </c>
      <c r="B12" s="9" t="n">
        <v>0.15</v>
      </c>
      <c r="C12" s="2" t="inlineStr">
        <is>
          <t>KSA zakat + corporate-tax blend; simplified</t>
        </is>
      </c>
    </row>
    <row r="13">
      <c r="A13" s="6" t="inlineStr">
        <is>
          <t>WACC</t>
        </is>
      </c>
      <c r="B13" s="9" t="n">
        <v>0.09</v>
      </c>
      <c r="C13" s="2" t="inlineStr">
        <is>
          <t>Discount rate for DCF</t>
        </is>
      </c>
    </row>
    <row r="14">
      <c r="A14" s="6" t="inlineStr">
        <is>
          <t>Terminal growth</t>
        </is>
      </c>
      <c r="B14" s="9" t="n">
        <v>0.03</v>
      </c>
      <c r="C14" s="2" t="inlineStr">
        <is>
          <t>Long-run nominal growth in TV; must be &lt; WACC</t>
        </is>
      </c>
    </row>
    <row r="16">
      <c r="A16" s="3" t="inlineStr">
        <is>
          <t>Balance sheet</t>
        </is>
      </c>
    </row>
    <row r="17">
      <c r="A17" s="6" t="inlineStr">
        <is>
          <t>Net debt Y0 (SAR bn)</t>
        </is>
      </c>
      <c r="B17" s="8" t="n">
        <v>15</v>
      </c>
      <c r="C17" s="2" t="inlineStr">
        <is>
          <t>Subtracted from EV to get equity value</t>
        </is>
      </c>
    </row>
    <row r="18">
      <c r="A18" s="6" t="inlineStr">
        <is>
          <t>Shares outstanding (millions)</t>
        </is>
      </c>
      <c r="B18" s="10" t="n">
        <v>5000</v>
      </c>
      <c r="C18" s="2" t="inlineStr">
        <is>
          <t>Used for per-share value</t>
        </is>
      </c>
    </row>
    <row r="19">
      <c r="A19" s="6" t="inlineStr">
        <is>
          <t>Cost of debt (interest)</t>
        </is>
      </c>
      <c r="B19" s="9" t="n">
        <v>0.05</v>
      </c>
      <c r="C19" s="2" t="inlineStr">
        <is>
          <t>Applied to net debt for interest expense</t>
        </is>
      </c>
    </row>
    <row r="20">
      <c r="A20" s="6" t="inlineStr">
        <is>
          <t>WC as % of ΔRevenue</t>
        </is>
      </c>
      <c r="B20" s="9" t="n">
        <v>0.02</v>
      </c>
      <c r="C20" s="2" t="inlineStr">
        <is>
          <t>Simplifying 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5-YEAR FORECAST</t>
        </is>
      </c>
    </row>
    <row r="2">
      <c r="A2" s="2" t="inlineStr">
        <is>
          <t>All figures in SAR billion unless noted.</t>
        </is>
      </c>
    </row>
    <row r="4">
      <c r="A4" s="11" t="inlineStr"/>
      <c r="B4" s="12" t="inlineStr">
        <is>
          <t>Y1</t>
        </is>
      </c>
      <c r="C4" s="12" t="inlineStr">
        <is>
          <t>Y2</t>
        </is>
      </c>
      <c r="D4" s="12" t="inlineStr">
        <is>
          <t>Y3</t>
        </is>
      </c>
      <c r="E4" s="12" t="inlineStr">
        <is>
          <t>Y4</t>
        </is>
      </c>
      <c r="F4" s="12" t="inlineStr">
        <is>
          <t>Y5</t>
        </is>
      </c>
    </row>
    <row r="5">
      <c r="A5" s="6" t="inlineStr">
        <is>
          <t>Service revenue</t>
        </is>
      </c>
      <c r="B5" s="13">
        <f>Inputs!$B$5*(1+Inputs!$B$6)^1</f>
        <v/>
      </c>
      <c r="C5" s="13">
        <f>Inputs!$B$5*(1+Inputs!$B$6)^2</f>
        <v/>
      </c>
      <c r="D5" s="13">
        <f>Inputs!$B$5*(1+Inputs!$B$6)^3</f>
        <v/>
      </c>
      <c r="E5" s="13">
        <f>Inputs!$B$5*(1+Inputs!$B$6)^4</f>
        <v/>
      </c>
      <c r="F5" s="13">
        <f>Inputs!$B$5*(1+Inputs!$B$6)^5</f>
        <v/>
      </c>
    </row>
    <row r="6">
      <c r="A6" s="5" t="inlineStr">
        <is>
          <t>EBITDA</t>
        </is>
      </c>
      <c r="B6" s="14">
        <f>B5*Inputs!$B$7</f>
        <v/>
      </c>
      <c r="C6" s="14">
        <f>C5*Inputs!$B$7</f>
        <v/>
      </c>
      <c r="D6" s="14">
        <f>D5*Inputs!$B$7</f>
        <v/>
      </c>
      <c r="E6" s="14">
        <f>E5*Inputs!$B$7</f>
        <v/>
      </c>
      <c r="F6" s="14">
        <f>F5*Inputs!$B$7</f>
        <v/>
      </c>
    </row>
    <row r="7">
      <c r="A7" s="6" t="inlineStr">
        <is>
          <t>D&amp;A</t>
        </is>
      </c>
      <c r="B7" s="13">
        <f>B5*Inputs!$B$8</f>
        <v/>
      </c>
      <c r="C7" s="13">
        <f>C5*Inputs!$B$8</f>
        <v/>
      </c>
      <c r="D7" s="13">
        <f>D5*Inputs!$B$8</f>
        <v/>
      </c>
      <c r="E7" s="13">
        <f>E5*Inputs!$B$8</f>
        <v/>
      </c>
      <c r="F7" s="13">
        <f>F5*Inputs!$B$8</f>
        <v/>
      </c>
    </row>
    <row r="8">
      <c r="A8" s="5" t="inlineStr">
        <is>
          <t>EBIT</t>
        </is>
      </c>
      <c r="B8" s="14">
        <f>B6-B7</f>
        <v/>
      </c>
      <c r="C8" s="14">
        <f>C6-C7</f>
        <v/>
      </c>
      <c r="D8" s="14">
        <f>D6-D7</f>
        <v/>
      </c>
      <c r="E8" s="14">
        <f>E6-E7</f>
        <v/>
      </c>
      <c r="F8" s="14">
        <f>F6-F7</f>
        <v/>
      </c>
    </row>
    <row r="9">
      <c r="A9" s="6" t="inlineStr">
        <is>
          <t>Interest</t>
        </is>
      </c>
      <c r="B9" s="13">
        <f>Inputs!$B$17*Inputs!$B$19</f>
        <v/>
      </c>
      <c r="C9" s="13">
        <f>Inputs!$B$17*Inputs!$B$19</f>
        <v/>
      </c>
      <c r="D9" s="13">
        <f>Inputs!$B$17*Inputs!$B$19</f>
        <v/>
      </c>
      <c r="E9" s="13">
        <f>Inputs!$B$17*Inputs!$B$19</f>
        <v/>
      </c>
      <c r="F9" s="13">
        <f>Inputs!$B$17*Inputs!$B$19</f>
        <v/>
      </c>
    </row>
    <row r="10">
      <c r="A10" s="6" t="inlineStr">
        <is>
          <t>Pre-tax income</t>
        </is>
      </c>
      <c r="B10" s="13">
        <f>B8-B9</f>
        <v/>
      </c>
      <c r="C10" s="13">
        <f>C8-C9</f>
        <v/>
      </c>
      <c r="D10" s="13">
        <f>D8-D9</f>
        <v/>
      </c>
      <c r="E10" s="13">
        <f>E8-E9</f>
        <v/>
      </c>
      <c r="F10" s="13">
        <f>F8-F9</f>
        <v/>
      </c>
    </row>
    <row r="11">
      <c r="A11" s="6" t="inlineStr">
        <is>
          <t>Tax / zakat</t>
        </is>
      </c>
      <c r="B11" s="13">
        <f>MAX(0,B10*Inputs!$B$12)</f>
        <v/>
      </c>
      <c r="C11" s="13">
        <f>MAX(0,C10*Inputs!$B$12)</f>
        <v/>
      </c>
      <c r="D11" s="13">
        <f>MAX(0,D10*Inputs!$B$12)</f>
        <v/>
      </c>
      <c r="E11" s="13">
        <f>MAX(0,E10*Inputs!$B$12)</f>
        <v/>
      </c>
      <c r="F11" s="13">
        <f>MAX(0,F10*Inputs!$B$12)</f>
        <v/>
      </c>
    </row>
    <row r="12">
      <c r="A12" s="5" t="inlineStr">
        <is>
          <t>Net income</t>
        </is>
      </c>
      <c r="B12" s="14">
        <f>B10-B11</f>
        <v/>
      </c>
      <c r="C12" s="14">
        <f>C10-C11</f>
        <v/>
      </c>
      <c r="D12" s="14">
        <f>D10-D11</f>
        <v/>
      </c>
      <c r="E12" s="14">
        <f>E10-E11</f>
        <v/>
      </c>
      <c r="F12" s="14">
        <f>F10-F11</f>
        <v/>
      </c>
    </row>
    <row r="14">
      <c r="A14" s="6" t="inlineStr">
        <is>
          <t>Capex</t>
        </is>
      </c>
      <c r="B14" s="13">
        <f>B5*Inputs!$B$9</f>
        <v/>
      </c>
      <c r="C14" s="13">
        <f>C5*Inputs!$B$9</f>
        <v/>
      </c>
      <c r="D14" s="13">
        <f>D5*Inputs!$B$9</f>
        <v/>
      </c>
      <c r="E14" s="13">
        <f>E5*Inputs!$B$9</f>
        <v/>
      </c>
      <c r="F14" s="13">
        <f>F5*Inputs!$B$9</f>
        <v/>
      </c>
    </row>
    <row r="15">
      <c r="A15" s="6" t="inlineStr">
        <is>
          <t>ΔWorking capital</t>
        </is>
      </c>
      <c r="B15" s="13">
        <f>(B5-Inputs!$B$5)*Inputs!$B$20</f>
        <v/>
      </c>
      <c r="C15" s="13">
        <f>(C5-B5)*Inputs!$B$20</f>
        <v/>
      </c>
      <c r="D15" s="13">
        <f>(D5-C5)*Inputs!$B$20</f>
        <v/>
      </c>
      <c r="E15" s="13">
        <f>(E5-D5)*Inputs!$B$20</f>
        <v/>
      </c>
      <c r="F15" s="13">
        <f>(F5-E5)*Inputs!$B$20</f>
        <v/>
      </c>
    </row>
    <row r="16">
      <c r="A16" s="15" t="inlineStr">
        <is>
          <t>FCFF</t>
        </is>
      </c>
      <c r="B16" s="16">
        <f>B8*(1-Inputs!$B$12)+B7-B14-B15</f>
        <v/>
      </c>
      <c r="C16" s="16">
        <f>C8*(1-Inputs!$B$12)+C7-C14-C15</f>
        <v/>
      </c>
      <c r="D16" s="16">
        <f>D8*(1-Inputs!$B$12)+D7-D14-D15</f>
        <v/>
      </c>
      <c r="E16" s="16">
        <f>E8*(1-Inputs!$B$12)+E7-E14-E15</f>
        <v/>
      </c>
      <c r="F16" s="16">
        <f>F8*(1-Inputs!$B$12)+F7-F14-F15</f>
        <v/>
      </c>
    </row>
    <row r="18">
      <c r="A18" s="6" t="inlineStr">
        <is>
          <t>Memo: NOPAT</t>
        </is>
      </c>
      <c r="B18" s="13">
        <f>B8*(1-Inputs!$B$12)</f>
        <v/>
      </c>
      <c r="C18" s="13">
        <f>C8*(1-Inputs!$B$12)</f>
        <v/>
      </c>
      <c r="D18" s="13">
        <f>D8*(1-Inputs!$B$12)</f>
        <v/>
      </c>
      <c r="E18" s="13">
        <f>E8*(1-Inputs!$B$12)</f>
        <v/>
      </c>
      <c r="F18" s="13">
        <f>F8*(1-Inputs!$B$12)</f>
        <v/>
      </c>
    </row>
    <row r="20">
      <c r="A20" s="3" t="inlineStr">
        <is>
          <t>KEY RATIOS</t>
        </is>
      </c>
    </row>
    <row r="21">
      <c r="A21" s="6" t="inlineStr">
        <is>
          <t>EBITDA margin</t>
        </is>
      </c>
      <c r="B21" s="17">
        <f>B6/B5</f>
        <v/>
      </c>
      <c r="C21" s="17">
        <f>C6/C5</f>
        <v/>
      </c>
      <c r="D21" s="17">
        <f>D6/D5</f>
        <v/>
      </c>
      <c r="E21" s="17">
        <f>E6/E5</f>
        <v/>
      </c>
      <c r="F21" s="17">
        <f>F6/F5</f>
        <v/>
      </c>
    </row>
    <row r="22">
      <c r="A22" s="6" t="inlineStr">
        <is>
          <t>FCF / revenue</t>
        </is>
      </c>
      <c r="B22" s="17">
        <f>B16/B5</f>
        <v/>
      </c>
      <c r="C22" s="17">
        <f>C16/C5</f>
        <v/>
      </c>
      <c r="D22" s="17">
        <f>D16/D5</f>
        <v/>
      </c>
      <c r="E22" s="17">
        <f>E16/E5</f>
        <v/>
      </c>
      <c r="F22" s="17">
        <f>F16/F5</f>
        <v/>
      </c>
    </row>
    <row r="23">
      <c r="A23" s="6" t="inlineStr">
        <is>
          <t>Capex / revenue</t>
        </is>
      </c>
      <c r="B23" s="17">
        <f>B14/B5</f>
        <v/>
      </c>
      <c r="C23" s="17">
        <f>C14/C5</f>
        <v/>
      </c>
      <c r="D23" s="17">
        <f>D14/D5</f>
        <v/>
      </c>
      <c r="E23" s="17">
        <f>E14/E5</f>
        <v/>
      </c>
      <c r="F23" s="17">
        <f>F14/F5</f>
        <v/>
      </c>
    </row>
    <row r="24">
      <c r="A24" s="6" t="inlineStr">
        <is>
          <t>Net debt / EBITDA</t>
        </is>
      </c>
      <c r="B24" s="18">
        <f>Inputs!$B$17/B6</f>
        <v/>
      </c>
      <c r="C24" s="18">
        <f>Inputs!$B$17/C6</f>
        <v/>
      </c>
      <c r="D24" s="18">
        <f>Inputs!$B$17/D6</f>
        <v/>
      </c>
      <c r="E24" s="18">
        <f>Inputs!$B$17/E6</f>
        <v/>
      </c>
      <c r="F24" s="18">
        <f>Inputs!$B$17/F6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DCF VALUATION</t>
        </is>
      </c>
    </row>
    <row r="2">
      <c r="A2" s="2" t="inlineStr">
        <is>
          <t>WACC, terminal growth, net debt, and shares all live on the Inputs sheet.</t>
        </is>
      </c>
    </row>
    <row r="4">
      <c r="A4" s="11" t="inlineStr"/>
      <c r="B4" s="12" t="inlineStr">
        <is>
          <t>Y1</t>
        </is>
      </c>
      <c r="C4" s="12" t="inlineStr">
        <is>
          <t>Y2</t>
        </is>
      </c>
      <c r="D4" s="12" t="inlineStr">
        <is>
          <t>Y3</t>
        </is>
      </c>
      <c r="E4" s="12" t="inlineStr">
        <is>
          <t>Y4</t>
        </is>
      </c>
      <c r="F4" s="12" t="inlineStr">
        <is>
          <t>Y5</t>
        </is>
      </c>
    </row>
    <row r="5">
      <c r="A5" s="6" t="inlineStr">
        <is>
          <t>FCFF (from Forecast)</t>
        </is>
      </c>
      <c r="B5" s="13">
        <f>Forecast!B16</f>
        <v/>
      </c>
      <c r="C5" s="13">
        <f>Forecast!C16</f>
        <v/>
      </c>
      <c r="D5" s="13">
        <f>Forecast!D16</f>
        <v/>
      </c>
      <c r="E5" s="13">
        <f>Forecast!E16</f>
        <v/>
      </c>
      <c r="F5" s="13">
        <f>Forecast!F16</f>
        <v/>
      </c>
    </row>
    <row r="6">
      <c r="A6" s="6" t="inlineStr">
        <is>
          <t>Discount factor</t>
        </is>
      </c>
      <c r="B6" s="19">
        <f>1/(1+Inputs!$B$13)^1</f>
        <v/>
      </c>
      <c r="C6" s="19">
        <f>1/(1+Inputs!$B$13)^2</f>
        <v/>
      </c>
      <c r="D6" s="19">
        <f>1/(1+Inputs!$B$13)^3</f>
        <v/>
      </c>
      <c r="E6" s="19">
        <f>1/(1+Inputs!$B$13)^4</f>
        <v/>
      </c>
      <c r="F6" s="19">
        <f>1/(1+Inputs!$B$13)^5</f>
        <v/>
      </c>
    </row>
    <row r="7">
      <c r="A7" s="5" t="inlineStr">
        <is>
          <t>PV of FCFF</t>
        </is>
      </c>
      <c r="B7" s="14">
        <f>B5*B6</f>
        <v/>
      </c>
      <c r="C7" s="14">
        <f>C5*C6</f>
        <v/>
      </c>
      <c r="D7" s="14">
        <f>D5*D6</f>
        <v/>
      </c>
      <c r="E7" s="14">
        <f>E5*E6</f>
        <v/>
      </c>
      <c r="F7" s="14">
        <f>F5*F6</f>
        <v/>
      </c>
    </row>
    <row r="9">
      <c r="A9" s="5" t="inlineStr">
        <is>
          <t>Sum PV (explicit Y1-Y5)</t>
        </is>
      </c>
      <c r="B9" s="14">
        <f>SUM(B7:F7)</f>
        <v/>
      </c>
    </row>
    <row r="10">
      <c r="A10" s="6" t="inlineStr">
        <is>
          <t>Terminal value (Gordon)</t>
        </is>
      </c>
      <c r="B10" s="13">
        <f>F5*(1+Inputs!$B$14)/(Inputs!$B$13-Inputs!$B$14)</f>
        <v/>
      </c>
    </row>
    <row r="11">
      <c r="A11" s="5" t="inlineStr">
        <is>
          <t>PV of terminal value</t>
        </is>
      </c>
      <c r="B11" s="14">
        <f>B10*F6</f>
        <v/>
      </c>
    </row>
    <row r="13">
      <c r="A13" s="15" t="inlineStr">
        <is>
          <t>Enterprise value</t>
        </is>
      </c>
      <c r="B13" s="16">
        <f>B9+B11</f>
        <v/>
      </c>
    </row>
    <row r="14">
      <c r="A14" s="6" t="inlineStr">
        <is>
          <t>Less: net debt</t>
        </is>
      </c>
      <c r="B14" s="13">
        <f>Inputs!$B$17</f>
        <v/>
      </c>
    </row>
    <row r="15">
      <c r="A15" s="15" t="inlineStr">
        <is>
          <t>Equity value</t>
        </is>
      </c>
      <c r="B15" s="16">
        <f>B13-B14</f>
        <v/>
      </c>
    </row>
    <row r="16">
      <c r="A16" s="5" t="inlineStr">
        <is>
          <t>Per-share value (SAR)</t>
        </is>
      </c>
      <c r="B16" s="20">
        <f>B15*1000/Inputs!$B$18</f>
        <v/>
      </c>
    </row>
    <row r="18">
      <c r="A18" s="6" t="inlineStr">
        <is>
          <t>Implied FY+1 EV/EBITDA</t>
        </is>
      </c>
      <c r="B18" s="18">
        <f>B13/Forecast!B6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2026-05-24T16:23:57Z</dcterms:created>
  <dcterms:modified xmlns:dcterms="http://purl.org/dc/terms/" xmlns:xsi="http://www.w3.org/2001/XMLSchema-instance" xsi:type="dcterms:W3CDTF">2026-05-24T16:23:57Z</dcterms:modified>
</cp:coreProperties>
</file>