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Drivers" sheetId="3" state="visible" r:id="rId3"/>
    <sheet xmlns:r="http://schemas.openxmlformats.org/officeDocument/2006/relationships" name="Spectrum" sheetId="4" state="visible" r:id="rId4"/>
    <sheet xmlns:r="http://schemas.openxmlformats.org/officeDocument/2006/relationships" name="Leases" sheetId="5" state="visible" r:id="rId5"/>
    <sheet xmlns:r="http://schemas.openxmlformats.org/officeDocument/2006/relationships" name="Debt" sheetId="6" state="visible" r:id="rId6"/>
    <sheet xmlns:r="http://schemas.openxmlformats.org/officeDocument/2006/relationships" name="PPE" sheetId="7" state="visible" r:id="rId7"/>
    <sheet xmlns:r="http://schemas.openxmlformats.org/officeDocument/2006/relationships" name="WC" sheetId="8" state="visible" r:id="rId8"/>
    <sheet xmlns:r="http://schemas.openxmlformats.org/officeDocument/2006/relationships" name="Tax" sheetId="9" state="visible" r:id="rId9"/>
    <sheet xmlns:r="http://schemas.openxmlformats.org/officeDocument/2006/relationships" name="IS" sheetId="10" state="visible" r:id="rId10"/>
    <sheet xmlns:r="http://schemas.openxmlformats.org/officeDocument/2006/relationships" name="Segments" sheetId="11" state="visible" r:id="rId11"/>
    <sheet xmlns:r="http://schemas.openxmlformats.org/officeDocument/2006/relationships" name="Equity" sheetId="12" state="visible" r:id="rId12"/>
    <sheet xmlns:r="http://schemas.openxmlformats.org/officeDocument/2006/relationships" name="BS" sheetId="13" state="visible" r:id="rId13"/>
    <sheet xmlns:r="http://schemas.openxmlformats.org/officeDocument/2006/relationships" name="CFS" sheetId="14" state="visible" r:id="rId14"/>
    <sheet xmlns:r="http://schemas.openxmlformats.org/officeDocument/2006/relationships" name="Budget" sheetId="15" state="visible" r:id="rId15"/>
    <sheet xmlns:r="http://schemas.openxmlformats.org/officeDocument/2006/relationships" name="Scenarios" sheetId="16" state="visible" r:id="rId16"/>
    <sheet xmlns:r="http://schemas.openxmlformats.org/officeDocument/2006/relationships" name="Sensitivity" sheetId="17" state="visible" r:id="rId17"/>
    <sheet xmlns:r="http://schemas.openxmlformats.org/officeDocument/2006/relationships" name="Valuation" sheetId="18" state="visible" r:id="rId18"/>
    <sheet xmlns:r="http://schemas.openxmlformats.org/officeDocument/2006/relationships" name="Checks" sheetId="19" state="visible" r:id="rId19"/>
  </sheets>
  <definedNames/>
  <calcPr calcId="124519" fullCalcOnLoad="1"/>
</workbook>
</file>

<file path=xl/styles.xml><?xml version="1.0" encoding="utf-8"?>
<styleSheet xmlns="http://schemas.openxmlformats.org/spreadsheetml/2006/main">
  <numFmts count="6">
    <numFmt numFmtId="164" formatCode="#,##0.0;[Red]-#,##0.0"/>
    <numFmt numFmtId="165" formatCode="0.0%;[Red]-0.0%"/>
    <numFmt numFmtId="166" formatCode="#,##0&quot; d&quot;"/>
    <numFmt numFmtId="167" formatCode="#,##0.0"/>
    <numFmt numFmtId="168" formatCode="0.0000"/>
    <numFmt numFmtId="169" formatCode="0.00&quot;x&quot;"/>
  </numFmts>
  <fonts count="10">
    <font>
      <name val="Calibri"/>
      <family val="2"/>
      <color theme="1"/>
      <sz val="11"/>
      <scheme val="minor"/>
    </font>
    <font>
      <name val="Calibri"/>
      <b val="1"/>
      <color rgb="000A1828"/>
      <sz val="18"/>
    </font>
    <font>
      <name val="Calibri"/>
      <i val="1"/>
      <color rgb="005A6573"/>
      <sz val="10"/>
    </font>
    <font>
      <name val="Calibri"/>
      <b val="1"/>
      <color rgb="00B87333"/>
      <sz val="10"/>
    </font>
    <font>
      <name val="Calibri"/>
      <color rgb="00000000"/>
      <sz val="11"/>
      <u val="single"/>
    </font>
    <font>
      <name val="Calibri"/>
      <b val="1"/>
      <color rgb="00000000"/>
      <sz val="11"/>
    </font>
    <font>
      <name val="Calibri"/>
      <color rgb="00000000"/>
      <sz val="11"/>
    </font>
    <font>
      <name val="Calibri"/>
      <color rgb="000563C1"/>
      <sz val="11"/>
    </font>
    <font>
      <name val="Calibri"/>
      <color rgb="005A6573"/>
      <sz val="9"/>
    </font>
    <font>
      <name val="Calibri"/>
      <b val="1"/>
      <color rgb="00FFFFFF"/>
      <sz val="11"/>
    </font>
  </fonts>
  <fills count="4">
    <fill>
      <patternFill/>
    </fill>
    <fill>
      <patternFill patternType="gray125"/>
    </fill>
    <fill>
      <patternFill patternType="solid">
        <fgColor rgb="000A1828"/>
      </patternFill>
    </fill>
    <fill>
      <patternFill patternType="solid">
        <fgColor rgb="00F1EFE6"/>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horizontal="left" vertical="top" wrapText="1"/>
    </xf>
    <xf numFmtId="164" fontId="7" fillId="0" borderId="0" applyAlignment="1" pivotButton="0" quotePrefix="0" xfId="0">
      <alignment horizontal="right"/>
    </xf>
    <xf numFmtId="165" fontId="7" fillId="0" borderId="0" applyAlignment="1" pivotButton="0" quotePrefix="0" xfId="0">
      <alignment horizontal="right"/>
    </xf>
    <xf numFmtId="166" fontId="7" fillId="0" borderId="0" applyAlignment="1" pivotButton="0" quotePrefix="0" xfId="0">
      <alignment horizontal="right"/>
    </xf>
    <xf numFmtId="3" fontId="7" fillId="0" borderId="0" applyAlignment="1" pivotButton="0" quotePrefix="0" xfId="0">
      <alignment horizontal="right"/>
    </xf>
    <xf numFmtId="167" fontId="7" fillId="0" borderId="0" applyAlignment="1" pivotButton="0" quotePrefix="0" xfId="0">
      <alignment horizontal="right"/>
    </xf>
    <xf numFmtId="0" fontId="0" fillId="2" borderId="0" pivotButton="0" quotePrefix="0" xfId="0"/>
    <xf numFmtId="0" fontId="9" fillId="2" borderId="0" applyAlignment="1" pivotButton="0" quotePrefix="0" xfId="0">
      <alignment horizontal="right"/>
    </xf>
    <xf numFmtId="49" fontId="6" fillId="0" borderId="0" applyAlignment="1" pivotButton="0" quotePrefix="0" xfId="0">
      <alignment horizontal="right"/>
    </xf>
    <xf numFmtId="167" fontId="6" fillId="0" borderId="0" applyAlignment="1" pivotButton="0" quotePrefix="0" xfId="0">
      <alignment horizontal="right"/>
    </xf>
    <xf numFmtId="0" fontId="5" fillId="3" borderId="0" pivotButton="0" quotePrefix="0" xfId="0"/>
    <xf numFmtId="167" fontId="5" fillId="3" borderId="0" applyAlignment="1" pivotButton="0" quotePrefix="0" xfId="0">
      <alignment horizontal="right"/>
    </xf>
    <xf numFmtId="3" fontId="6" fillId="0" borderId="0" applyAlignment="1" pivotButton="0" quotePrefix="0" xfId="0">
      <alignment horizontal="right"/>
    </xf>
    <xf numFmtId="164" fontId="6" fillId="0" borderId="0" applyAlignment="1" pivotButton="0" quotePrefix="0" xfId="0">
      <alignment horizontal="right"/>
    </xf>
    <xf numFmtId="164" fontId="5" fillId="3" borderId="0" applyAlignment="1" pivotButton="0" quotePrefix="0" xfId="0">
      <alignment horizontal="right"/>
    </xf>
    <xf numFmtId="165" fontId="6" fillId="0" borderId="0" applyAlignment="1" pivotButton="0" quotePrefix="0" xfId="0">
      <alignment horizontal="right"/>
    </xf>
    <xf numFmtId="164" fontId="5" fillId="0" borderId="0" applyAlignment="1" pivotButton="0" quotePrefix="0" xfId="0">
      <alignment horizontal="right"/>
    </xf>
    <xf numFmtId="4" fontId="6" fillId="0" borderId="0" applyAlignment="1" pivotButton="0" quotePrefix="0" xfId="0">
      <alignment horizontal="right"/>
    </xf>
    <xf numFmtId="165" fontId="5" fillId="0" borderId="0" applyAlignment="1" pivotButton="0" quotePrefix="0" xfId="0">
      <alignment horizontal="right"/>
    </xf>
    <xf numFmtId="3" fontId="5" fillId="3" borderId="0" applyAlignment="1" pivotButton="0" quotePrefix="0" xfId="0">
      <alignment horizontal="right"/>
    </xf>
    <xf numFmtId="0" fontId="2" fillId="0" borderId="0" applyAlignment="1" pivotButton="0" quotePrefix="0" xfId="0">
      <alignment horizontal="left"/>
    </xf>
    <xf numFmtId="168" fontId="6" fillId="0" borderId="0" applyAlignment="1" pivotButton="0" quotePrefix="0" xfId="0">
      <alignment horizontal="right"/>
    </xf>
    <xf numFmtId="4" fontId="5" fillId="3" borderId="0" applyAlignment="1" pivotButton="0" quotePrefix="0" xfId="0">
      <alignment horizontal="right"/>
    </xf>
    <xf numFmtId="169" fontId="6" fillId="0" borderId="0" applyAlignment="1" pivotButton="0" quotePrefix="0" xfId="0">
      <alignment horizontal="right"/>
    </xf>
    <xf numFmtId="0" fontId="6" fillId="0" borderId="0" applyAlignment="1" pivotButton="0" quotePrefix="0" xfId="0">
      <alignment horizontal="right"/>
    </xf>
  </cellXfs>
  <cellStyles count="1">
    <cellStyle name="Normal" xfId="0" builtinId="0" hidden="0"/>
  </cellStyles>
  <dxfs count="2">
    <dxf>
      <font>
        <name val="Calibri"/>
        <b val="1"/>
        <color rgb="002C7A3E"/>
        <sz val="11"/>
      </font>
      <fill>
        <patternFill patternType="solid">
          <fgColor rgb="00DDF0DC"/>
        </patternFill>
      </fill>
    </dxf>
    <dxf>
      <font>
        <name val="Calibri"/>
        <b val="1"/>
        <color rgb="00B33231"/>
        <sz val="11"/>
      </font>
      <fill>
        <patternFill patternType="solid">
          <fgColor rgb="00F8D7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9"/>
  <sheetViews>
    <sheetView workbookViewId="0">
      <selection activeCell="A1" sqref="A1"/>
    </sheetView>
  </sheetViews>
  <sheetFormatPr baseColWidth="8" defaultRowHeight="15"/>
  <cols>
    <col width="4" customWidth="1" min="1" max="1"/>
    <col width="30" customWidth="1" min="2" max="2"/>
    <col width="70" customWidth="1" min="3" max="3"/>
  </cols>
  <sheetData>
    <row r="2">
      <c r="B2" s="1" t="inlineStr">
        <is>
          <t>Telecom &amp; IT — Operating Model</t>
        </is>
      </c>
    </row>
    <row r="3">
      <c r="B3" s="2" t="inlineStr">
        <is>
          <t>Author: Togrul Mirzayev   •   Generated: 2026-05-24</t>
        </is>
      </c>
    </row>
    <row r="5">
      <c r="B5" s="3" t="inlineStr">
        <is>
          <t>PORTFOLIO</t>
        </is>
      </c>
    </row>
    <row r="6">
      <c r="B6" s="4" t="inlineStr">
        <is>
          <t>https://jackidefi.github.io/finance-portfolio/</t>
        </is>
      </c>
    </row>
    <row r="8">
      <c r="B8" s="3" t="inlineStr">
        <is>
          <t>MODEL MAP</t>
        </is>
      </c>
    </row>
    <row r="10">
      <c r="B10" s="5" t="inlineStr">
        <is>
          <t>Assumptions</t>
        </is>
      </c>
      <c r="C10" s="6" t="inlineStr">
        <is>
          <t>Every driver and Y0 starting balance — blue cells, change freely.</t>
        </is>
      </c>
    </row>
    <row r="11">
      <c r="B11" s="5" t="inlineStr">
        <is>
          <t>Drivers</t>
        </is>
      </c>
      <c r="C11" s="6" t="inlineStr">
        <is>
          <t>Subscriber and ARPU buildup; service revenue ties back to Assumptions.</t>
        </is>
      </c>
    </row>
    <row r="12">
      <c r="B12" s="5" t="inlineStr">
        <is>
          <t>IS</t>
        </is>
      </c>
      <c r="C12" s="6" t="inlineStr">
        <is>
          <t>Income Statement, fully formula-driven, Y1-Y5.</t>
        </is>
      </c>
    </row>
    <row r="13">
      <c r="B13" s="5" t="inlineStr">
        <is>
          <t>BS</t>
        </is>
      </c>
      <c r="C13" s="6" t="inlineStr">
        <is>
          <t>Balance Sheet, Y0 opening + Y1-Y5 forecast. Must balance.</t>
        </is>
      </c>
    </row>
    <row r="14">
      <c r="B14" s="5" t="inlineStr">
        <is>
          <t>CFS</t>
        </is>
      </c>
      <c r="C14" s="6" t="inlineStr">
        <is>
          <t>Cash Flow Statement, indirect method. Ties to change in cash on BS.</t>
        </is>
      </c>
    </row>
    <row r="15">
      <c r="B15" s="5" t="inlineStr">
        <is>
          <t>Equity</t>
        </is>
      </c>
      <c r="C15" s="6" t="inlineStr">
        <is>
          <t>Equity rollforward — share capital, retained earnings, OCI, minority.</t>
        </is>
      </c>
    </row>
    <row r="16">
      <c r="B16" s="5" t="inlineStr">
        <is>
          <t>Debt</t>
        </is>
      </c>
      <c r="C16" s="6" t="inlineStr">
        <is>
          <t>Debt schedule — gross debt, interest, period movements.</t>
        </is>
      </c>
    </row>
    <row r="17">
      <c r="B17" s="5" t="inlineStr">
        <is>
          <t>PPE</t>
        </is>
      </c>
      <c r="C17" s="6" t="inlineStr">
        <is>
          <t>PP&amp;E rollforward — capex in, D&amp;A out, closing balance to BS.</t>
        </is>
      </c>
    </row>
    <row r="18">
      <c r="B18" s="5" t="inlineStr">
        <is>
          <t>WC</t>
        </is>
      </c>
      <c r="C18" s="6" t="inlineStr">
        <is>
          <t>Working capital schedule — AR, inventory, AP from days ratios.</t>
        </is>
      </c>
    </row>
    <row r="19">
      <c r="B19" s="5" t="inlineStr">
        <is>
          <t>Tax</t>
        </is>
      </c>
      <c r="C19" s="6" t="inlineStr">
        <is>
          <t>Tax expense schedule — current tax, effective rate.</t>
        </is>
      </c>
    </row>
    <row r="20">
      <c r="B20" s="5" t="inlineStr">
        <is>
          <t>Budget</t>
        </is>
      </c>
      <c r="C20" s="6" t="inlineStr">
        <is>
          <t>Y1 broken into 12 months with quarterly subtotals (planning view).</t>
        </is>
      </c>
    </row>
    <row r="21">
      <c r="B21" s="5" t="inlineStr">
        <is>
          <t>Scenarios</t>
        </is>
      </c>
      <c r="C21" s="6" t="inlineStr">
        <is>
          <t>Downside / Base / Upside switcher; flexes growth, margin, capex.</t>
        </is>
      </c>
    </row>
    <row r="22">
      <c r="B22" s="5" t="inlineStr">
        <is>
          <t>Sensitivity</t>
        </is>
      </c>
      <c r="C22" s="6" t="inlineStr">
        <is>
          <t>Two-way tables: WACC × terminal growth, margin × revenue growth.</t>
        </is>
      </c>
    </row>
    <row r="23">
      <c r="B23" s="5" t="inlineStr">
        <is>
          <t>Valuation</t>
        </is>
      </c>
      <c r="C23" s="6" t="inlineStr">
        <is>
          <t>DCF (Gordon-growth terminal), EV/EBITDA cross-check, per-share.</t>
        </is>
      </c>
    </row>
    <row r="24">
      <c r="B24" s="5" t="inlineStr">
        <is>
          <t>Checks</t>
        </is>
      </c>
      <c r="C24" s="6" t="inlineStr">
        <is>
          <t>BS balance, CFS reconciliation, cash positivity, sources = uses.</t>
        </is>
      </c>
    </row>
    <row r="27">
      <c r="B27" s="3" t="inlineStr">
        <is>
          <t>COLOUR LEGEND</t>
        </is>
      </c>
    </row>
    <row r="28">
      <c r="B28" s="7" t="inlineStr">
        <is>
          <t>Blue</t>
        </is>
      </c>
      <c r="C28" s="6" t="inlineStr">
        <is>
          <t>Hard-coded input — change freely.</t>
        </is>
      </c>
    </row>
    <row r="29">
      <c r="B29" s="6" t="inlineStr">
        <is>
          <t>Black</t>
        </is>
      </c>
      <c r="C29" s="6" t="inlineStr">
        <is>
          <t>Formula referencing other cells.</t>
        </is>
      </c>
    </row>
    <row r="30">
      <c r="B30" s="5" t="inlineStr">
        <is>
          <t>Bold</t>
        </is>
      </c>
      <c r="C30" s="6" t="inlineStr">
        <is>
          <t>Subtotal or key model output.</t>
        </is>
      </c>
    </row>
    <row r="31">
      <c r="B31" s="6" t="inlineStr">
        <is>
          <t>Green / red fills</t>
        </is>
      </c>
      <c r="C31" s="6" t="inlineStr">
        <is>
          <t>Checks sheet — pass / fail status.</t>
        </is>
      </c>
    </row>
    <row r="33">
      <c r="B33" s="3" t="inlineStr">
        <is>
          <t>DATA SOURCES</t>
        </is>
      </c>
    </row>
    <row r="34" ht="15" customHeight="1">
      <c r="B34" s="8" t="inlineStr">
        <is>
          <t>Y0 inputs calibrated to STC's FY2024 actuals. Revenue (SAR 75.9 bn) and balance-sheet items (cash 13.4, AR 35.0, PP&amp;E 43.3, intangibles 17.3, investments 34.3, AP 7.5, ST debt 3.0, LT debt 14.0, lease liab 1.7, share capital 50.0, equity 86.4) are drawn from STC's FY2024 consolidated balance sheet (per IR release dated 25-Feb-2025 and the FY2024 annual report). Segment splits (postpaid / prepaid / fixed / B2B / ICT / wholesale), debt tranche structure, spectrum cohort assumptions, working-capital ratios and growth/margin forecast inputs are analytical estimates — STC discloses by business unit (consumer / business / wholesale), not by the analytical segments modelled here. The tranche structure (Sukuk 1/Sukuk 2/Term Loan/RCF) is an illustrative breakdown of STC's actual SAR 17 bn financial debt; STC does not publicly disclose each tranche's coupon and maturity in granular form.</t>
        </is>
      </c>
    </row>
    <row r="35" ht="15" customHeight="1"/>
    <row r="36" ht="15" customHeight="1"/>
    <row r="37" ht="15" customHeight="1"/>
    <row r="38" ht="15" customHeight="1"/>
    <row r="40">
      <c r="B40" s="3" t="inlineStr">
        <is>
          <t>MODEL CONVENTIONS</t>
        </is>
      </c>
    </row>
    <row r="41">
      <c r="B41" s="6" t="inlineStr">
        <is>
          <t>•  All figures in SAR billion unless noted (subscribers in millions, ARPU in SAR / month).</t>
        </is>
      </c>
    </row>
    <row r="42">
      <c r="B42" s="6" t="inlineStr">
        <is>
          <t>•  Forecast horizon: 5 explicit years (Y1-Y5). Y0 is the base / opening period.</t>
        </is>
      </c>
    </row>
    <row r="43">
      <c r="B43" s="6" t="inlineStr">
        <is>
          <t>•  Interest expense uses cost-of-debt × opening total debt to avoid circular references.</t>
        </is>
      </c>
    </row>
    <row r="44">
      <c r="B44" s="6" t="inlineStr">
        <is>
          <t>•  Working capital is built from DSO / DIO / DPO ratios applied to revenue and COGS.</t>
        </is>
      </c>
    </row>
    <row r="45">
      <c r="B45" s="6" t="inlineStr">
        <is>
          <t>•  Depreciation is driven by D&amp;A as % of revenue; PP&amp;E rolls forward as opening + capex − D&amp;A.</t>
        </is>
      </c>
    </row>
    <row r="46">
      <c r="B46" s="6" t="inlineStr">
        <is>
          <t>•  Tax is a single effective rate applied to pre-tax income; deferred tax held flat.</t>
        </is>
      </c>
    </row>
    <row r="47">
      <c r="B47" s="6" t="inlineStr">
        <is>
          <t>•  Dividends = payout ratio × net income; equity rolls forward through the Equity sheet.</t>
        </is>
      </c>
    </row>
    <row r="48">
      <c r="B48" s="6" t="inlineStr">
        <is>
          <t>•  Terminal value via Gordon growth: FCFF_Y5 × (1+g) ÷ (WACC − g).</t>
        </is>
      </c>
    </row>
    <row r="49">
      <c r="B49" s="6" t="inlineStr">
        <is>
          <t>•  BS plugs to cash from the CFS — if every BS movement is correctly mirrored in CFS, the BS balances.</t>
        </is>
      </c>
    </row>
  </sheetData>
  <mergeCells count="10">
    <mergeCell ref="B44:C44"/>
    <mergeCell ref="B47:C47"/>
    <mergeCell ref="B48:C48"/>
    <mergeCell ref="B34:C38"/>
    <mergeCell ref="B42:C42"/>
    <mergeCell ref="B45:C45"/>
    <mergeCell ref="B46:C46"/>
    <mergeCell ref="B41:C41"/>
    <mergeCell ref="B49:C49"/>
    <mergeCell ref="B43:C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0"/>
  <sheetViews>
    <sheetView workbookViewId="0">
      <selection activeCell="A1" sqref="A1"/>
    </sheetView>
  </sheetViews>
  <sheetFormatPr baseColWidth="8" defaultRowHeight="15"/>
  <cols>
    <col width="36" customWidth="1" min="1" max="1"/>
    <col width="14" customWidth="1" min="2" max="2"/>
    <col width="60" customWidth="1" min="3" max="3"/>
  </cols>
  <sheetData>
    <row r="1">
      <c r="A1" s="3" t="inlineStr">
        <is>
          <t>ASSUMPTIONS</t>
        </is>
      </c>
    </row>
    <row r="2">
      <c r="A2" s="2" t="inlineStr">
        <is>
          <t>All inputs to the model live on this sheet. Change blue cells freely.</t>
        </is>
      </c>
    </row>
    <row r="4">
      <c r="A4" s="3" t="inlineStr">
        <is>
          <t>Operating drivers</t>
        </is>
      </c>
    </row>
    <row r="5">
      <c r="A5" s="6" t="inlineStr">
        <is>
          <t>Service revenue Y0 (SAR bn)</t>
        </is>
      </c>
      <c r="B5" s="9" t="n">
        <v>75.90000000000001</v>
      </c>
      <c r="C5" s="2" t="inlineStr">
        <is>
          <t>Year 0 base; everything scales from here.</t>
        </is>
      </c>
    </row>
    <row r="6">
      <c r="A6" s="6" t="inlineStr">
        <is>
          <t>Revenue growth (annual)</t>
        </is>
      </c>
      <c r="B6" s="10" t="n">
        <v>0.06</v>
      </c>
      <c r="C6" s="2" t="inlineStr">
        <is>
          <t>Applied to every forecast year (Scenarios sheet can override).</t>
        </is>
      </c>
    </row>
    <row r="7">
      <c r="A7" s="6" t="inlineStr">
        <is>
          <t>EBITDA margin (target, info only)</t>
        </is>
      </c>
      <c r="B7" s="10" t="n">
        <v>0.345</v>
      </c>
      <c r="C7" s="2" t="inlineStr">
        <is>
          <t>Reference value. Actual EBITDA is computed bottom-up from cost lines below.</t>
        </is>
      </c>
    </row>
    <row r="8">
      <c r="A8" s="6" t="inlineStr">
        <is>
          <t>D&amp;A / revenue</t>
        </is>
      </c>
      <c r="B8" s="10" t="n">
        <v>0.16</v>
      </c>
      <c r="C8" s="2" t="inlineStr">
        <is>
          <t>Drives PP&amp;E rollforward and depreciation expense.</t>
        </is>
      </c>
    </row>
    <row r="9">
      <c r="A9" s="6" t="inlineStr">
        <is>
          <t>Capex intensity</t>
        </is>
      </c>
      <c r="B9" s="10" t="n">
        <v>0.16</v>
      </c>
      <c r="C9" s="2" t="inlineStr">
        <is>
          <t>Capex ÷ revenue, fed into PP&amp;E and CFS.</t>
        </is>
      </c>
    </row>
    <row r="11">
      <c r="A11" s="3" t="inlineStr">
        <is>
          <t>Cost structure (% of revenue)</t>
        </is>
      </c>
    </row>
    <row r="12">
      <c r="A12" s="6" t="inlineStr">
        <is>
          <t>COGS / interconnect / content</t>
        </is>
      </c>
      <c r="B12" s="10" t="n">
        <v>0.22</v>
      </c>
      <c r="C12" s="2" t="inlineStr">
        <is>
          <t>Variable; partly indexed to revenue.</t>
        </is>
      </c>
    </row>
    <row r="13">
      <c r="A13" s="6" t="inlineStr">
        <is>
          <t>Network opex</t>
        </is>
      </c>
      <c r="B13" s="10" t="n">
        <v>0.14</v>
      </c>
      <c r="C13" s="2" t="inlineStr">
        <is>
          <t>Site lease, energy, maintenance — mostly fixed.</t>
        </is>
      </c>
    </row>
    <row r="14">
      <c r="A14" s="6" t="inlineStr">
        <is>
          <t>Employee costs</t>
        </is>
      </c>
      <c r="B14" s="10" t="n">
        <v>0.13</v>
      </c>
      <c r="C14" s="2" t="inlineStr">
        <is>
          <t>Quasi-fixed.</t>
        </is>
      </c>
    </row>
    <row r="15">
      <c r="A15" s="6" t="inlineStr">
        <is>
          <t>Customer acquisition / commercial</t>
        </is>
      </c>
      <c r="B15" s="10" t="n">
        <v>0.05</v>
      </c>
      <c r="C15" s="2" t="inlineStr">
        <is>
          <t>Subsidies, dealer commissions.</t>
        </is>
      </c>
    </row>
    <row r="16">
      <c r="A16" s="6" t="inlineStr">
        <is>
          <t>Other opex / G&amp;A</t>
        </is>
      </c>
      <c r="B16" s="10" t="n">
        <v>0.11</v>
      </c>
      <c r="C16" s="2" t="inlineStr">
        <is>
          <t>Catch-all; sum of all five lines + EBITDA margin should = 100%.</t>
        </is>
      </c>
    </row>
    <row r="17">
      <c r="A17" s="6" t="inlineStr">
        <is>
          <t>Finance income / revenue</t>
        </is>
      </c>
      <c r="B17" s="10" t="n">
        <v>0.005</v>
      </c>
      <c r="C17" s="2" t="inlineStr">
        <is>
          <t>Treasury yield on cash and short-term investments.</t>
        </is>
      </c>
    </row>
    <row r="19">
      <c r="A19" s="3" t="inlineStr">
        <is>
          <t>Financial</t>
        </is>
      </c>
    </row>
    <row r="20">
      <c r="A20" s="6" t="inlineStr">
        <is>
          <t>Tax / zakat rate</t>
        </is>
      </c>
      <c r="B20" s="10" t="n">
        <v>0.15</v>
      </c>
      <c r="C20" s="2" t="inlineStr">
        <is>
          <t>Effective rate applied to pre-tax income.</t>
        </is>
      </c>
    </row>
    <row r="21">
      <c r="A21" s="6" t="inlineStr">
        <is>
          <t>WACC</t>
        </is>
      </c>
      <c r="B21" s="10" t="n">
        <v>0.09</v>
      </c>
      <c r="C21" s="2" t="inlineStr">
        <is>
          <t>Discount rate for DCF.</t>
        </is>
      </c>
    </row>
    <row r="22">
      <c r="A22" s="6" t="inlineStr">
        <is>
          <t>Terminal growth (g)</t>
        </is>
      </c>
      <c r="B22" s="10" t="n">
        <v>0.03</v>
      </c>
      <c r="C22" s="2" t="inlineStr">
        <is>
          <t>Long-run nominal growth; must be &lt; WACC.</t>
        </is>
      </c>
    </row>
    <row r="23">
      <c r="A23" s="6" t="inlineStr">
        <is>
          <t>Cost of debt (interest)</t>
        </is>
      </c>
      <c r="B23" s="10" t="n">
        <v>0.05</v>
      </c>
      <c r="C23" s="2" t="inlineStr">
        <is>
          <t>Applied to opening total debt for period interest.</t>
        </is>
      </c>
    </row>
    <row r="24">
      <c r="A24" s="6" t="inlineStr">
        <is>
          <t>Dividend payout (% of NI)</t>
        </is>
      </c>
      <c r="B24" s="10" t="n">
        <v>0.5</v>
      </c>
      <c r="C24" s="2" t="inlineStr">
        <is>
          <t>Used to compute dividends in equity rollforward &amp; CFS.</t>
        </is>
      </c>
    </row>
    <row r="26">
      <c r="A26" s="3" t="inlineStr">
        <is>
          <t>Working capital (days)</t>
        </is>
      </c>
    </row>
    <row r="27">
      <c r="A27" s="6" t="inlineStr">
        <is>
          <t>Days sales outstanding (DSO)</t>
        </is>
      </c>
      <c r="B27" s="11" t="n">
        <v>168</v>
      </c>
      <c r="C27" s="2" t="inlineStr">
        <is>
          <t>Drives accounts receivable on BS.</t>
        </is>
      </c>
    </row>
    <row r="28">
      <c r="A28" s="6" t="inlineStr">
        <is>
          <t>Days inventory outstanding (DIO)</t>
        </is>
      </c>
      <c r="B28" s="11" t="n">
        <v>40</v>
      </c>
      <c r="C28" s="2" t="inlineStr">
        <is>
          <t>Drives inventory on BS.</t>
        </is>
      </c>
    </row>
    <row r="29">
      <c r="A29" s="6" t="inlineStr">
        <is>
          <t>Days payables outstanding (DPO)</t>
        </is>
      </c>
      <c r="B29" s="11" t="n">
        <v>130</v>
      </c>
      <c r="C29" s="2" t="inlineStr">
        <is>
          <t>Drives accounts payable on BS.</t>
        </is>
      </c>
    </row>
    <row r="31">
      <c r="A31" s="3" t="inlineStr">
        <is>
          <t>Capital structure</t>
        </is>
      </c>
    </row>
    <row r="32">
      <c r="A32" s="6" t="inlineStr">
        <is>
          <t>Shares outstanding (millions)</t>
        </is>
      </c>
      <c r="B32" s="12" t="n">
        <v>5000</v>
      </c>
      <c r="C32" s="2" t="inlineStr">
        <is>
          <t>Used for per-share value.</t>
        </is>
      </c>
    </row>
    <row r="34">
      <c r="A34" s="3" t="inlineStr">
        <is>
          <t>Balance sheet Y0 — Assets</t>
        </is>
      </c>
    </row>
    <row r="35">
      <c r="A35" s="6" t="inlineStr">
        <is>
          <t>Cash &amp; equivalents</t>
        </is>
      </c>
      <c r="B35" s="9" t="n">
        <v>13.4</v>
      </c>
      <c r="C35" s="2" t="inlineStr">
        <is>
          <t>Opening cash; plugs through CFS thereafter.</t>
        </is>
      </c>
    </row>
    <row r="36">
      <c r="A36" s="6" t="inlineStr">
        <is>
          <t>Accounts receivable</t>
        </is>
      </c>
      <c r="B36" s="9" t="n">
        <v>35</v>
      </c>
      <c r="C36" s="2" t="inlineStr">
        <is>
          <t>Calibrated to DSO × revenue.</t>
        </is>
      </c>
    </row>
    <row r="37">
      <c r="A37" s="6" t="inlineStr">
        <is>
          <t>Inventory</t>
        </is>
      </c>
      <c r="B37" s="9" t="n">
        <v>1.9</v>
      </c>
    </row>
    <row r="38">
      <c r="A38" s="6" t="inlineStr">
        <is>
          <t>Other current assets</t>
        </is>
      </c>
      <c r="B38" s="9" t="n">
        <v>7.8</v>
      </c>
      <c r="C38" s="2" t="inlineStr">
        <is>
          <t>Held flat in forecast.</t>
        </is>
      </c>
    </row>
    <row r="39">
      <c r="A39" s="6" t="inlineStr">
        <is>
          <t>Property, plant &amp; equipment</t>
        </is>
      </c>
      <c r="B39" s="9" t="n">
        <v>43.3</v>
      </c>
      <c r="C39" s="2" t="inlineStr">
        <is>
          <t>Net book value; rolls forward via PPE sheet.</t>
        </is>
      </c>
    </row>
    <row r="40">
      <c r="A40" s="6" t="inlineStr">
        <is>
          <t>Goodwill</t>
        </is>
      </c>
      <c r="B40" s="9" t="n">
        <v>0</v>
      </c>
      <c r="C40" s="2" t="inlineStr">
        <is>
          <t>Held flat (no impairment in default case).</t>
        </is>
      </c>
    </row>
    <row r="41">
      <c r="A41" s="6" t="inlineStr">
        <is>
          <t>Intangibles (incl. spectrum)</t>
        </is>
      </c>
      <c r="B41" s="9" t="n">
        <v>17.3</v>
      </c>
      <c r="C41" s="2" t="inlineStr">
        <is>
          <t>Held flat.</t>
        </is>
      </c>
    </row>
    <row r="42">
      <c r="A42" s="6" t="inlineStr">
        <is>
          <t>Investments / associates</t>
        </is>
      </c>
      <c r="B42" s="9" t="n">
        <v>34.3</v>
      </c>
    </row>
    <row r="43">
      <c r="A43" s="6" t="inlineStr">
        <is>
          <t>Deferred tax assets</t>
        </is>
      </c>
      <c r="B43" s="9" t="n">
        <v>2.8</v>
      </c>
      <c r="C43" s="2" t="inlineStr">
        <is>
          <t>Held flat.</t>
        </is>
      </c>
    </row>
    <row r="45">
      <c r="A45" s="3" t="inlineStr">
        <is>
          <t>Balance sheet Y0 — Liabilities</t>
        </is>
      </c>
    </row>
    <row r="46">
      <c r="A46" s="6" t="inlineStr">
        <is>
          <t>Accounts payable</t>
        </is>
      </c>
      <c r="B46" s="9" t="n">
        <v>7.5</v>
      </c>
      <c r="C46" s="2" t="inlineStr">
        <is>
          <t>Calibrated to DPO × COGS.</t>
        </is>
      </c>
    </row>
    <row r="47">
      <c r="A47" s="6" t="inlineStr">
        <is>
          <t>Other current liabilities</t>
        </is>
      </c>
      <c r="B47" s="9" t="n">
        <v>30</v>
      </c>
    </row>
    <row r="48">
      <c r="A48" s="6" t="inlineStr">
        <is>
          <t>Short-term debt</t>
        </is>
      </c>
      <c r="B48" s="9" t="n">
        <v>3</v>
      </c>
    </row>
    <row r="49">
      <c r="A49" s="6" t="inlineStr">
        <is>
          <t>Long-term debt</t>
        </is>
      </c>
      <c r="B49" s="9" t="n">
        <v>14</v>
      </c>
    </row>
    <row r="50">
      <c r="A50" s="6" t="inlineStr">
        <is>
          <t>Lease liabilities (IFRS 16)</t>
        </is>
      </c>
      <c r="B50" s="9" t="n">
        <v>1.7</v>
      </c>
      <c r="C50" s="2" t="inlineStr">
        <is>
          <t>Held flat in forecast (simplification).</t>
        </is>
      </c>
    </row>
    <row r="51">
      <c r="A51" s="6" t="inlineStr">
        <is>
          <t>Provisions</t>
        </is>
      </c>
      <c r="B51" s="9" t="n">
        <v>5</v>
      </c>
    </row>
    <row r="52">
      <c r="A52" s="6" t="inlineStr">
        <is>
          <t>Deferred tax liabilities</t>
        </is>
      </c>
      <c r="B52" s="9" t="n">
        <v>3</v>
      </c>
      <c r="C52" s="2" t="inlineStr">
        <is>
          <t>Held flat.</t>
        </is>
      </c>
    </row>
    <row r="53">
      <c r="A53" s="6" t="inlineStr">
        <is>
          <t>Other non-current liabilities</t>
        </is>
      </c>
      <c r="B53" s="9" t="n">
        <v>6.8</v>
      </c>
    </row>
    <row r="55">
      <c r="A55" s="3" t="inlineStr">
        <is>
          <t>Balance sheet Y0 — Equity</t>
        </is>
      </c>
    </row>
    <row r="56">
      <c r="A56" s="6" t="inlineStr">
        <is>
          <t>Share capital</t>
        </is>
      </c>
      <c r="B56" s="9" t="n">
        <v>50</v>
      </c>
      <c r="C56" s="2" t="inlineStr">
        <is>
          <t>Held flat (no issuance / buyback).</t>
        </is>
      </c>
    </row>
    <row r="57">
      <c r="A57" s="6" t="inlineStr">
        <is>
          <t>Retained earnings</t>
        </is>
      </c>
      <c r="B57" s="9" t="n">
        <v>32.4</v>
      </c>
      <c r="C57" s="2" t="inlineStr">
        <is>
          <t>Computed plug so total balance sheet balances at Y0.</t>
        </is>
      </c>
    </row>
    <row r="58">
      <c r="A58" s="6" t="inlineStr">
        <is>
          <t>OCI reserve</t>
        </is>
      </c>
      <c r="B58" s="9" t="n">
        <v>0</v>
      </c>
      <c r="C58" s="2" t="inlineStr">
        <is>
          <t>Default: nil movement.</t>
        </is>
      </c>
    </row>
    <row r="59">
      <c r="A59" s="6" t="inlineStr">
        <is>
          <t>Minority interest</t>
        </is>
      </c>
      <c r="B59" s="9" t="n">
        <v>4.1</v>
      </c>
      <c r="C59" s="2" t="inlineStr">
        <is>
          <t>Held flat.</t>
        </is>
      </c>
    </row>
    <row r="61">
      <c r="A61" s="3" t="inlineStr">
        <is>
          <t>Scenario selector</t>
        </is>
      </c>
    </row>
    <row r="62">
      <c r="A62" s="6" t="inlineStr">
        <is>
          <t>Active scenario (1=Down, 2=Base, 3=Up)</t>
        </is>
      </c>
      <c r="B62" s="12" t="n">
        <v>2</v>
      </c>
      <c r="C62" s="2" t="inlineStr">
        <is>
          <t>Drives the Scenarios sheet.</t>
        </is>
      </c>
    </row>
    <row r="64">
      <c r="A64" s="3" t="inlineStr">
        <is>
          <t>SEGMENT 1 — Mobile postpaid</t>
        </is>
      </c>
    </row>
    <row r="65">
      <c r="A65" s="6" t="inlineStr">
        <is>
          <t>Subscribers Y0 (millions)</t>
        </is>
      </c>
      <c r="B65" s="13" t="n">
        <v>7.5</v>
      </c>
      <c r="C65" s="2" t="inlineStr">
        <is>
          <t>Opening base.</t>
        </is>
      </c>
    </row>
    <row r="66">
      <c r="A66" s="6" t="inlineStr">
        <is>
          <t>ARPU Y0 (SAR / month)</t>
        </is>
      </c>
      <c r="B66" s="12" t="n">
        <v>240</v>
      </c>
      <c r="C66" s="2" t="inlineStr">
        <is>
          <t>Voice + data + content.</t>
        </is>
      </c>
    </row>
    <row r="67">
      <c r="A67" s="6" t="inlineStr">
        <is>
          <t>Gross adds / opening base</t>
        </is>
      </c>
      <c r="B67" s="10" t="n">
        <v>0.12</v>
      </c>
      <c r="C67" s="2" t="inlineStr">
        <is>
          <t>Annual; subscriber acquisition rate.</t>
        </is>
      </c>
    </row>
    <row r="68">
      <c r="A68" s="6" t="inlineStr">
        <is>
          <t>Churn (annual)</t>
        </is>
      </c>
      <c r="B68" s="10" t="n">
        <v>0.12</v>
      </c>
      <c r="C68" s="2" t="inlineStr">
        <is>
          <t>Annual blended churn.</t>
        </is>
      </c>
    </row>
    <row r="69">
      <c r="A69" s="6" t="inlineStr">
        <is>
          <t>ARPU growth (annual)</t>
        </is>
      </c>
      <c r="B69" s="10" t="n">
        <v>0.02</v>
      </c>
    </row>
    <row r="70">
      <c r="A70" s="6" t="inlineStr">
        <is>
          <t>Contribution margin</t>
        </is>
      </c>
      <c r="B70" s="10" t="n">
        <v>0.5</v>
      </c>
      <c r="C70" s="2" t="inlineStr">
        <is>
          <t>Segment EBITDA / segment revenue.</t>
        </is>
      </c>
    </row>
    <row r="72">
      <c r="A72" s="3" t="inlineStr">
        <is>
          <t>SEGMENT 2 — Mobile prepaid</t>
        </is>
      </c>
    </row>
    <row r="73">
      <c r="A73" s="6" t="inlineStr">
        <is>
          <t>Subscribers Y0 (millions)</t>
        </is>
      </c>
      <c r="B73" s="13" t="n">
        <v>25</v>
      </c>
    </row>
    <row r="74">
      <c r="A74" s="6" t="inlineStr">
        <is>
          <t>ARPU Y0 (SAR / month)</t>
        </is>
      </c>
      <c r="B74" s="12" t="n">
        <v>55</v>
      </c>
    </row>
    <row r="75">
      <c r="A75" s="6" t="inlineStr">
        <is>
          <t>Gross adds / opening base</t>
        </is>
      </c>
      <c r="B75" s="10" t="n">
        <v>0.3</v>
      </c>
      <c r="C75" s="2" t="inlineStr">
        <is>
          <t>Prepaid runs hot — high gross adds, high churn.</t>
        </is>
      </c>
    </row>
    <row r="76">
      <c r="A76" s="6" t="inlineStr">
        <is>
          <t>Churn (annual)</t>
        </is>
      </c>
      <c r="B76" s="10" t="n">
        <v>0.28</v>
      </c>
    </row>
    <row r="77">
      <c r="A77" s="6" t="inlineStr">
        <is>
          <t>ARPU growth (annual)</t>
        </is>
      </c>
      <c r="B77" s="10" t="n">
        <v>0.01</v>
      </c>
    </row>
    <row r="78">
      <c r="A78" s="6" t="inlineStr">
        <is>
          <t>Contribution margin</t>
        </is>
      </c>
      <c r="B78" s="10" t="n">
        <v>0.35</v>
      </c>
    </row>
    <row r="80">
      <c r="A80" s="3" t="inlineStr">
        <is>
          <t>SEGMENT 3 — Fixed broadband</t>
        </is>
      </c>
    </row>
    <row r="81">
      <c r="A81" s="6" t="inlineStr">
        <is>
          <t>Subscribers Y0 (millions)</t>
        </is>
      </c>
      <c r="B81" s="13" t="n">
        <v>2</v>
      </c>
      <c r="C81" s="2" t="inlineStr">
        <is>
          <t>Households + SMB.</t>
        </is>
      </c>
    </row>
    <row r="82">
      <c r="A82" s="6" t="inlineStr">
        <is>
          <t>ARPU Y0 (SAR / month)</t>
        </is>
      </c>
      <c r="B82" s="12" t="n">
        <v>420</v>
      </c>
      <c r="C82" s="2" t="inlineStr">
        <is>
          <t>Broadband + IPTV + voice bundle.</t>
        </is>
      </c>
    </row>
    <row r="83">
      <c r="A83" s="6" t="inlineStr">
        <is>
          <t>Gross adds / opening base</t>
        </is>
      </c>
      <c r="B83" s="10" t="n">
        <v>0.15</v>
      </c>
    </row>
    <row r="84">
      <c r="A84" s="6" t="inlineStr">
        <is>
          <t>Churn (annual)</t>
        </is>
      </c>
      <c r="B84" s="10" t="n">
        <v>0.1</v>
      </c>
    </row>
    <row r="85">
      <c r="A85" s="6" t="inlineStr">
        <is>
          <t>ARPU growth (annual)</t>
        </is>
      </c>
      <c r="B85" s="10" t="n">
        <v>0.02</v>
      </c>
    </row>
    <row r="86">
      <c r="A86" s="6" t="inlineStr">
        <is>
          <t>Contribution margin</t>
        </is>
      </c>
      <c r="B86" s="10" t="n">
        <v>0.4</v>
      </c>
    </row>
    <row r="88">
      <c r="A88" s="3" t="inlineStr">
        <is>
          <t>SEGMENT 4 — B2B connectivity</t>
        </is>
      </c>
    </row>
    <row r="89">
      <c r="A89" s="6" t="inlineStr">
        <is>
          <t>Revenue Y0 (SAR bn)</t>
        </is>
      </c>
      <c r="B89" s="9" t="n">
        <v>14</v>
      </c>
      <c r="C89" s="2" t="inlineStr">
        <is>
          <t>Enterprise &amp; government managed connectivity.</t>
        </is>
      </c>
    </row>
    <row r="90">
      <c r="A90" s="6" t="inlineStr">
        <is>
          <t>Growth (annual)</t>
        </is>
      </c>
      <c r="B90" s="10" t="n">
        <v>0.08</v>
      </c>
    </row>
    <row r="91">
      <c r="A91" s="6" t="inlineStr">
        <is>
          <t>Contribution margin</t>
        </is>
      </c>
      <c r="B91" s="10" t="n">
        <v>0.45</v>
      </c>
    </row>
    <row r="93">
      <c r="A93" s="3" t="inlineStr">
        <is>
          <t>SEGMENT 5 — ICT / cloud services</t>
        </is>
      </c>
    </row>
    <row r="94">
      <c r="A94" s="6" t="inlineStr">
        <is>
          <t>Revenue Y0 (SAR bn)</t>
        </is>
      </c>
      <c r="B94" s="9" t="n">
        <v>8</v>
      </c>
      <c r="C94" s="2" t="inlineStr">
        <is>
          <t>STC Solutions: cloud, cybersecurity, system integration.</t>
        </is>
      </c>
    </row>
    <row r="95">
      <c r="A95" s="6" t="inlineStr">
        <is>
          <t>Growth (annual)</t>
        </is>
      </c>
      <c r="B95" s="10" t="n">
        <v>0.15</v>
      </c>
      <c r="C95" s="2" t="inlineStr">
        <is>
          <t>Highest segment growth.</t>
        </is>
      </c>
    </row>
    <row r="96">
      <c r="A96" s="6" t="inlineStr">
        <is>
          <t>Contribution margin</t>
        </is>
      </c>
      <c r="B96" s="10" t="n">
        <v>0.3</v>
      </c>
      <c r="C96" s="2" t="inlineStr">
        <is>
          <t>Lower margin (heavy COGS in resold hyperscaler capacity).</t>
        </is>
      </c>
    </row>
    <row r="98">
      <c r="A98" s="3" t="inlineStr">
        <is>
          <t>SEGMENT 6 — Wholesale / carrier</t>
        </is>
      </c>
    </row>
    <row r="99">
      <c r="A99" s="6" t="inlineStr">
        <is>
          <t>Revenue Y0 (SAR bn)</t>
        </is>
      </c>
      <c r="B99" s="9" t="n">
        <v>6</v>
      </c>
      <c r="C99" s="2" t="inlineStr">
        <is>
          <t>Domestic interconnect + international.</t>
        </is>
      </c>
    </row>
    <row r="100">
      <c r="A100" s="6" t="inlineStr">
        <is>
          <t>Growth (annual)</t>
        </is>
      </c>
      <c r="B100" s="10" t="n">
        <v>0.02</v>
      </c>
    </row>
    <row r="101">
      <c r="A101" s="6" t="inlineStr">
        <is>
          <t>Contribution margin</t>
        </is>
      </c>
      <c r="B101" s="10" t="n">
        <v>0.25</v>
      </c>
      <c r="C101" s="2" t="inlineStr">
        <is>
          <t>Margin pressure from declining voice minutes.</t>
        </is>
      </c>
    </row>
    <row r="103">
      <c r="A103" s="3" t="inlineStr">
        <is>
          <t>EQUIPMENT — handset sales (separate from service)</t>
        </is>
      </c>
    </row>
    <row r="104">
      <c r="A104" s="6" t="inlineStr">
        <is>
          <t>Revenue Y0 (SAR bn)</t>
        </is>
      </c>
      <c r="B104" s="9" t="n">
        <v>4</v>
      </c>
    </row>
    <row r="105">
      <c r="A105" s="6" t="inlineStr">
        <is>
          <t>Growth (annual)</t>
        </is>
      </c>
      <c r="B105" s="10" t="n">
        <v>0.03</v>
      </c>
    </row>
    <row r="106">
      <c r="A106" s="6" t="inlineStr">
        <is>
          <t>Contribution margin</t>
        </is>
      </c>
      <c r="B106" s="10" t="n">
        <v>0.05</v>
      </c>
      <c r="C106" s="2" t="inlineStr">
        <is>
          <t>Near-breakeven — drives mobile postpaid acquisition.</t>
        </is>
      </c>
    </row>
    <row r="108">
      <c r="A108" s="3" t="inlineStr">
        <is>
          <t>Detailed cost ratios (% of total revenue)</t>
        </is>
      </c>
    </row>
    <row r="109">
      <c r="A109" s="6" t="inlineStr">
        <is>
          <t>Interconnect &amp; roaming</t>
        </is>
      </c>
      <c r="B109" s="10" t="n">
        <v>0.08</v>
      </c>
      <c r="C109" s="2" t="inlineStr">
        <is>
          <t>Paid to other operators per minute / GB.</t>
        </is>
      </c>
    </row>
    <row r="110">
      <c r="A110" s="6" t="inlineStr">
        <is>
          <t>Content / OTT licensing</t>
        </is>
      </c>
      <c r="B110" s="10" t="n">
        <v>0.04</v>
      </c>
      <c r="C110" s="2" t="inlineStr">
        <is>
          <t>Sports rights, IPTV content.</t>
        </is>
      </c>
    </row>
    <row r="111">
      <c r="A111" s="6" t="inlineStr">
        <is>
          <t>Network energy + site lease</t>
        </is>
      </c>
      <c r="B111" s="10" t="n">
        <v>0.09</v>
      </c>
      <c r="C111" s="2" t="inlineStr">
        <is>
          <t>Per-site fixed-ish opex; sensitive to tower lease structure.</t>
        </is>
      </c>
    </row>
    <row r="112">
      <c r="A112" s="6" t="inlineStr">
        <is>
          <t>Other network opex</t>
        </is>
      </c>
      <c r="B112" s="10" t="n">
        <v>0.1</v>
      </c>
      <c r="C112" s="2" t="inlineStr">
        <is>
          <t>Maintenance, transmission, regulatory fees.</t>
        </is>
      </c>
    </row>
    <row r="113">
      <c r="A113" s="6" t="inlineStr">
        <is>
          <t>Other commercial / marketing</t>
        </is>
      </c>
      <c r="B113" s="10" t="n">
        <v>0.04</v>
      </c>
      <c r="C113" s="2" t="inlineStr">
        <is>
          <t>Brand spend, retention programmes.</t>
        </is>
      </c>
    </row>
    <row r="114">
      <c r="A114" s="6" t="inlineStr">
        <is>
          <t>G&amp;A / overhead</t>
        </is>
      </c>
      <c r="B114" s="10" t="n">
        <v>0.07000000000000001</v>
      </c>
    </row>
    <row r="115">
      <c r="A115" s="6" t="inlineStr">
        <is>
          <t>FX losses (net)</t>
        </is>
      </c>
      <c r="B115" s="10" t="n">
        <v>0.005</v>
      </c>
      <c r="C115" s="2" t="inlineStr">
        <is>
          <t>EGP / KWD / BHD translation drag.</t>
        </is>
      </c>
    </row>
    <row r="117">
      <c r="A117" s="3" t="inlineStr">
        <is>
          <t>Below-EBITDA items</t>
        </is>
      </c>
    </row>
    <row r="118">
      <c r="A118" s="6" t="inlineStr">
        <is>
          <t>Intangibles amortisation (ex-spectrum)</t>
        </is>
      </c>
      <c r="B118" s="10" t="n">
        <v>0.005</v>
      </c>
      <c r="C118" s="2" t="inlineStr">
        <is>
          <t>Other intangibles only; spectrum lives on its own schedule.</t>
        </is>
      </c>
    </row>
    <row r="119">
      <c r="A119" s="6" t="inlineStr">
        <is>
          <t>Share of associate profit Y0</t>
        </is>
      </c>
      <c r="B119" s="9" t="n">
        <v>0.05</v>
      </c>
      <c r="C119" s="2" t="inlineStr">
        <is>
          <t>Equity-accounted minority stakes.</t>
        </is>
      </c>
    </row>
    <row r="120">
      <c r="A120" s="6" t="inlineStr">
        <is>
          <t>Associates growth</t>
        </is>
      </c>
      <c r="B120" s="10" t="n">
        <v>0.05</v>
      </c>
    </row>
    <row r="121">
      <c r="A121" s="6" t="inlineStr">
        <is>
          <t>Minority share of NI</t>
        </is>
      </c>
      <c r="B121" s="10" t="n">
        <v>0.05</v>
      </c>
      <c r="C121" s="2" t="inlineStr">
        <is>
          <t>Vodafone Egypt 49% non-controlling interest.</t>
        </is>
      </c>
    </row>
    <row r="123">
      <c r="A123" s="3" t="inlineStr">
        <is>
          <t>PHASE 2 — Spectrum licenses</t>
        </is>
      </c>
    </row>
    <row r="124">
      <c r="A124" s="6" t="inlineStr">
        <is>
          <t>Cohort 1 — pre-2020 NBV (SAR bn)</t>
        </is>
      </c>
      <c r="B124" s="9" t="n">
        <v>4</v>
      </c>
      <c r="C124" s="2" t="inlineStr">
        <is>
          <t>Mostly amortised legacy 2G/3G spectrum.</t>
        </is>
      </c>
    </row>
    <row r="125">
      <c r="A125" s="6" t="inlineStr">
        <is>
          <t>Cohort 1 — remaining life (yrs)</t>
        </is>
      </c>
      <c r="B125" s="12" t="n">
        <v>5</v>
      </c>
    </row>
    <row r="126">
      <c r="A126" s="6" t="inlineStr">
        <is>
          <t>Cohort 2 — 2020-2024 NBV</t>
        </is>
      </c>
      <c r="B126" s="9" t="n">
        <v>8</v>
      </c>
      <c r="C126" s="2" t="inlineStr">
        <is>
          <t>4G refarm + initial 5G allocations.</t>
        </is>
      </c>
    </row>
    <row r="127">
      <c r="A127" s="6" t="inlineStr">
        <is>
          <t>Cohort 2 — remaining life (yrs)</t>
        </is>
      </c>
      <c r="B127" s="12" t="n">
        <v>15</v>
      </c>
    </row>
    <row r="128">
      <c r="A128" s="6" t="inlineStr">
        <is>
          <t>Cohort 3 — cash payment year</t>
        </is>
      </c>
      <c r="B128" s="12" t="n">
        <v>2</v>
      </c>
      <c r="C128" s="2" t="inlineStr">
        <is>
          <t>Year of next major 5G mid-band auction.</t>
        </is>
      </c>
    </row>
    <row r="129">
      <c r="A129" s="6" t="inlineStr">
        <is>
          <t>Cohort 3 — cash payment (SAR bn)</t>
        </is>
      </c>
      <c r="B129" s="9" t="n">
        <v>3</v>
      </c>
      <c r="C129" s="2" t="inlineStr">
        <is>
          <t>Lump-sum auction cost.</t>
        </is>
      </c>
    </row>
    <row r="130">
      <c r="A130" s="6" t="inlineStr">
        <is>
          <t>Cohort 3 — amortisation life</t>
        </is>
      </c>
      <c r="B130" s="12" t="n">
        <v>18</v>
      </c>
    </row>
    <row r="132">
      <c r="A132" s="3" t="inlineStr">
        <is>
          <t>PHASE 2 — Leases (IFRS 16)</t>
        </is>
      </c>
    </row>
    <row r="133">
      <c r="A133" s="6" t="inlineStr">
        <is>
          <t>Right-of-use asset Y0 (SAR bn)</t>
        </is>
      </c>
      <c r="B133" s="9" t="n">
        <v>1.7</v>
      </c>
      <c r="C133" s="2" t="inlineStr">
        <is>
          <t>Carved out of original PPE Y0 = 80.</t>
        </is>
      </c>
    </row>
    <row r="134">
      <c r="A134" s="6" t="inlineStr">
        <is>
          <t>Average lease term (years)</t>
        </is>
      </c>
      <c r="B134" s="12" t="n">
        <v>10</v>
      </c>
      <c r="C134" s="2" t="inlineStr">
        <is>
          <t>Drives ROU depreciation rate.</t>
        </is>
      </c>
    </row>
    <row r="135">
      <c r="A135" s="6" t="inlineStr">
        <is>
          <t>Implicit lease rate</t>
        </is>
      </c>
      <c r="B135" s="10" t="n">
        <v>0.05</v>
      </c>
      <c r="C135" s="2" t="inlineStr">
        <is>
          <t>Interest accretion on lease liabilities.</t>
        </is>
      </c>
    </row>
    <row r="136">
      <c r="A136" s="6" t="inlineStr">
        <is>
          <t>New lease additions / year (SAR bn)</t>
        </is>
      </c>
      <c r="B136" s="9" t="n">
        <v>0.3</v>
      </c>
      <c r="C136" s="2" t="inlineStr">
        <is>
          <t>Annual lease take-on (non-cash).</t>
        </is>
      </c>
    </row>
    <row r="138">
      <c r="A138" s="3" t="inlineStr">
        <is>
          <t>PHASE 2 — PP&amp;E depreciation</t>
        </is>
      </c>
    </row>
    <row r="139">
      <c r="A139" s="6" t="inlineStr">
        <is>
          <t>PP&amp;E annual depreciation rate</t>
        </is>
      </c>
      <c r="B139" s="10" t="n">
        <v>0.1</v>
      </c>
      <c r="C139" s="2" t="inlineStr">
        <is>
          <t>Applied to opening NBV (blended useful-life).</t>
        </is>
      </c>
    </row>
    <row r="140">
      <c r="A140" s="6" t="inlineStr">
        <is>
          <t>Capex maintenance share</t>
        </is>
      </c>
      <c r="B140" s="10" t="n">
        <v>0.55</v>
      </c>
      <c r="C140" s="2" t="inlineStr">
        <is>
          <t>Growth = 1 − maintenance.</t>
        </is>
      </c>
    </row>
    <row r="142">
      <c r="A142" s="6" t="inlineStr">
        <is>
          <t>Other intangibles Y0 (SAR bn)</t>
        </is>
      </c>
      <c r="B142" s="9" t="n">
        <v>5.3</v>
      </c>
      <c r="C142" s="2" t="inlineStr">
        <is>
          <t>Brand, software, customer lists (ex-spectrum).</t>
        </is>
      </c>
    </row>
    <row r="144">
      <c r="A144" s="3" t="inlineStr">
        <is>
          <t>PHASE 3 — Debt tranches</t>
        </is>
      </c>
    </row>
    <row r="145">
      <c r="A145" s="3" t="inlineStr">
        <is>
          <t>Tranche 1 — Sukuk 1 (bullet, refi)</t>
        </is>
      </c>
    </row>
    <row r="146">
      <c r="A146" s="6" t="inlineStr">
        <is>
          <t xml:space="preserve">  Notional (SAR bn)</t>
        </is>
      </c>
      <c r="B146" s="9" t="n">
        <v>6</v>
      </c>
      <c r="C146" s="2" t="inlineStr">
        <is>
          <t>Bullet maturity in year t1_maturity_y.</t>
        </is>
      </c>
    </row>
    <row r="147">
      <c r="A147" s="6" t="inlineStr">
        <is>
          <t xml:space="preserve">  Coupon</t>
        </is>
      </c>
      <c r="B147" s="10" t="n">
        <v>0.045</v>
      </c>
    </row>
    <row r="148">
      <c r="A148" s="6" t="inlineStr">
        <is>
          <t xml:space="preserve">  Maturity year</t>
        </is>
      </c>
      <c r="B148" s="12" t="n">
        <v>4</v>
      </c>
      <c r="C148" s="2" t="inlineStr">
        <is>
          <t>Refinanced at par at maturity (net debt change = 0).</t>
        </is>
      </c>
    </row>
    <row r="150">
      <c r="A150" s="3" t="inlineStr">
        <is>
          <t>Tranche 2 — Sukuk 2 (matures Y8)</t>
        </is>
      </c>
    </row>
    <row r="151">
      <c r="A151" s="6" t="inlineStr">
        <is>
          <t xml:space="preserve">  Notional (SAR bn)</t>
        </is>
      </c>
      <c r="B151" s="9" t="n">
        <v>8</v>
      </c>
      <c r="C151" s="2" t="inlineStr">
        <is>
          <t>Out of 5-year horizon; held flat.</t>
        </is>
      </c>
    </row>
    <row r="152">
      <c r="A152" s="6" t="inlineStr">
        <is>
          <t xml:space="preserve">  Coupon</t>
        </is>
      </c>
      <c r="B152" s="10" t="n">
        <v>0.05</v>
      </c>
    </row>
    <row r="154">
      <c r="A154" s="3" t="inlineStr">
        <is>
          <t>Tranche 3 — Term loan (amortising)</t>
        </is>
      </c>
    </row>
    <row r="155">
      <c r="A155" s="6" t="inlineStr">
        <is>
          <t xml:space="preserve">  Notional Y0 (SAR bn)</t>
        </is>
      </c>
      <c r="B155" s="9" t="n">
        <v>2</v>
      </c>
      <c r="C155" s="2" t="inlineStr">
        <is>
          <t>Amortises annually.</t>
        </is>
      </c>
    </row>
    <row r="156">
      <c r="A156" s="6" t="inlineStr">
        <is>
          <t xml:space="preserve">  Coupon</t>
        </is>
      </c>
      <c r="B156" s="10" t="n">
        <v>0.06</v>
      </c>
    </row>
    <row r="157">
      <c r="A157" s="6" t="inlineStr">
        <is>
          <t xml:space="preserve">  Repayment per year</t>
        </is>
      </c>
      <c r="B157" s="9" t="n">
        <v>0.4</v>
      </c>
      <c r="C157" s="2" t="inlineStr">
        <is>
          <t>Fully paid off by Y5.</t>
        </is>
      </c>
    </row>
    <row r="159">
      <c r="A159" s="3" t="inlineStr">
        <is>
          <t>Tranche 4 — RCF (drawn portion)</t>
        </is>
      </c>
    </row>
    <row r="160">
      <c r="A160" s="6" t="inlineStr">
        <is>
          <t xml:space="preserve">  Drawn balance Y0 (SAR bn)</t>
        </is>
      </c>
      <c r="B160" s="9" t="n">
        <v>1</v>
      </c>
      <c r="C160" s="2" t="inlineStr">
        <is>
          <t>Held flat at drawn level.</t>
        </is>
      </c>
    </row>
    <row r="161">
      <c r="A161" s="6" t="inlineStr">
        <is>
          <t xml:space="preserve">  Coupon (floating)</t>
        </is>
      </c>
      <c r="B161" s="10" t="n">
        <v>0.055</v>
      </c>
    </row>
    <row r="163">
      <c r="A163" s="3" t="inlineStr">
        <is>
          <t>PHASE 3 — Deferred tax</t>
        </is>
      </c>
    </row>
    <row r="164">
      <c r="A164" s="6" t="inlineStr">
        <is>
          <t>Tax depreciation rate</t>
        </is>
      </c>
      <c r="B164" s="10" t="n">
        <v>0.15</v>
      </c>
      <c r="C164" s="2" t="inlineStr">
        <is>
          <t>Accelerated vs book 10% → creates DTL.</t>
        </is>
      </c>
    </row>
    <row r="166">
      <c r="A166" s="3" t="inlineStr">
        <is>
          <t>PHASE 3+ — PP&amp;E by asset class</t>
        </is>
      </c>
    </row>
    <row r="167">
      <c r="A167" s="3" t="inlineStr">
        <is>
          <t>Class 1 — Network &amp; infrastructure</t>
        </is>
      </c>
    </row>
    <row r="168">
      <c r="A168" s="6" t="inlineStr">
        <is>
          <t xml:space="preserve">  NBV Y0 (SAR bn)</t>
        </is>
      </c>
      <c r="B168" s="9" t="n">
        <v>30</v>
      </c>
      <c r="C168" s="2" t="inlineStr">
        <is>
          <t>Largest asset class — radio, transmission, core.</t>
        </is>
      </c>
    </row>
    <row r="169">
      <c r="A169" s="6" t="inlineStr">
        <is>
          <t xml:space="preserve">  Useful life (years)</t>
        </is>
      </c>
      <c r="B169" s="12" t="n">
        <v>12</v>
      </c>
    </row>
    <row r="170">
      <c r="A170" s="6" t="inlineStr">
        <is>
          <t xml:space="preserve">  Capex allocation</t>
        </is>
      </c>
      <c r="B170" s="10" t="n">
        <v>0.65</v>
      </c>
    </row>
    <row r="172">
      <c r="A172" s="3" t="inlineStr">
        <is>
          <t>Class 2 — Towers &amp; sites</t>
        </is>
      </c>
    </row>
    <row r="173">
      <c r="A173" s="6" t="inlineStr">
        <is>
          <t xml:space="preserve">  NBV Y0</t>
        </is>
      </c>
      <c r="B173" s="9" t="n">
        <v>1</v>
      </c>
      <c r="C173" s="2" t="inlineStr">
        <is>
          <t>Long-life, low capex share.</t>
        </is>
      </c>
    </row>
    <row r="174">
      <c r="A174" s="6" t="inlineStr">
        <is>
          <t xml:space="preserve">  Useful life</t>
        </is>
      </c>
      <c r="B174" s="12" t="n">
        <v>25</v>
      </c>
    </row>
    <row r="175">
      <c r="A175" s="6" t="inlineStr">
        <is>
          <t xml:space="preserve">  Capex allocation</t>
        </is>
      </c>
      <c r="B175" s="10" t="n">
        <v>0.02</v>
      </c>
    </row>
    <row r="177">
      <c r="A177" s="3" t="inlineStr">
        <is>
          <t>Class 3 — Buildings &amp; land</t>
        </is>
      </c>
    </row>
    <row r="178">
      <c r="A178" s="6" t="inlineStr">
        <is>
          <t xml:space="preserve">  NBV Y0</t>
        </is>
      </c>
      <c r="B178" s="9" t="n">
        <v>4.3</v>
      </c>
    </row>
    <row r="179">
      <c r="A179" s="6" t="inlineStr">
        <is>
          <t xml:space="preserve">  Useful life</t>
        </is>
      </c>
      <c r="B179" s="12" t="n">
        <v>35</v>
      </c>
    </row>
    <row r="180">
      <c r="A180" s="6" t="inlineStr">
        <is>
          <t xml:space="preserve">  Capex allocation</t>
        </is>
      </c>
      <c r="B180" s="10" t="n">
        <v>0.05</v>
      </c>
    </row>
    <row r="182">
      <c r="A182" s="3" t="inlineStr">
        <is>
          <t>Class 4 — IT &amp; equipment</t>
        </is>
      </c>
    </row>
    <row r="183">
      <c r="A183" s="6" t="inlineStr">
        <is>
          <t xml:space="preserve">  NBV Y0</t>
        </is>
      </c>
      <c r="B183" s="9" t="n">
        <v>6</v>
      </c>
      <c r="C183" s="2" t="inlineStr">
        <is>
          <t>Short life, frequent refresh cycle.</t>
        </is>
      </c>
    </row>
    <row r="184">
      <c r="A184" s="6" t="inlineStr">
        <is>
          <t xml:space="preserve">  Useful life</t>
        </is>
      </c>
      <c r="B184" s="12" t="n">
        <v>4</v>
      </c>
    </row>
    <row r="185">
      <c r="A185" s="6" t="inlineStr">
        <is>
          <t xml:space="preserve">  Capex allocation</t>
        </is>
      </c>
      <c r="B185" s="10" t="n">
        <v>0.22</v>
      </c>
    </row>
    <row r="187">
      <c r="A187" s="3" t="inlineStr">
        <is>
          <t>Class 5 — Vehicles &amp; other</t>
        </is>
      </c>
    </row>
    <row r="188">
      <c r="A188" s="6" t="inlineStr">
        <is>
          <t xml:space="preserve">  NBV Y0</t>
        </is>
      </c>
      <c r="B188" s="9" t="n">
        <v>2</v>
      </c>
    </row>
    <row r="189">
      <c r="A189" s="6" t="inlineStr">
        <is>
          <t xml:space="preserve">  Useful life</t>
        </is>
      </c>
      <c r="B189" s="12" t="n">
        <v>6</v>
      </c>
    </row>
    <row r="190">
      <c r="A190" s="6" t="inlineStr">
        <is>
          <t xml:space="preserve">  Capex allocation</t>
        </is>
      </c>
      <c r="B190" s="10" t="n">
        <v>0.06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REVENUE &amp; SUBSCRIBER DRIVERS</t>
        </is>
      </c>
    </row>
    <row r="2">
      <c r="A2" s="2" t="inlineStr">
        <is>
          <t>Six service segments + handset revenue. Subs / ARPU / churn dynamics for consumer mobile and fixed; direct-revenue modeling for B2B, ICT and wholesale.</t>
        </is>
      </c>
    </row>
    <row r="4">
      <c r="A4" s="14" t="n"/>
      <c r="B4" s="15" t="inlineStr">
        <is>
          <t>Y0 (base)</t>
        </is>
      </c>
      <c r="C4" s="15" t="inlineStr">
        <is>
          <t>Y1</t>
        </is>
      </c>
      <c r="D4" s="15" t="inlineStr">
        <is>
          <t>Y2</t>
        </is>
      </c>
      <c r="E4" s="15" t="inlineStr">
        <is>
          <t>Y3</t>
        </is>
      </c>
      <c r="F4" s="15" t="inlineStr">
        <is>
          <t>Y4</t>
        </is>
      </c>
      <c r="G4" s="15" t="inlineStr">
        <is>
          <t>Y5</t>
        </is>
      </c>
    </row>
    <row r="6">
      <c r="A6" s="3" t="inlineStr">
        <is>
          <t>SUBSCRIBER DYNAMICS  (millions)</t>
        </is>
      </c>
    </row>
    <row r="7">
      <c r="A7" s="5" t="inlineStr">
        <is>
          <t>Mobile postpaid</t>
        </is>
      </c>
    </row>
    <row r="8">
      <c r="A8" s="6" t="inlineStr">
        <is>
          <t xml:space="preserve">  Opening subscribers</t>
        </is>
      </c>
      <c r="B8" s="16" t="inlineStr">
        <is>
          <t>""</t>
        </is>
      </c>
      <c r="C8" s="17">
        <f>Assumptions!$B$65</f>
        <v/>
      </c>
      <c r="D8" s="17">
        <f>C11</f>
        <v/>
      </c>
      <c r="E8" s="17">
        <f>D11</f>
        <v/>
      </c>
      <c r="F8" s="17">
        <f>E11</f>
        <v/>
      </c>
      <c r="G8" s="17">
        <f>F11</f>
        <v/>
      </c>
    </row>
    <row r="9">
      <c r="A9" s="6" t="inlineStr">
        <is>
          <t xml:space="preserve">  + Gross adds</t>
        </is>
      </c>
      <c r="C9" s="17">
        <f>Assumptions!$B$67*C8</f>
        <v/>
      </c>
      <c r="D9" s="17">
        <f>Assumptions!$B$67*D8</f>
        <v/>
      </c>
      <c r="E9" s="17">
        <f>Assumptions!$B$67*E8</f>
        <v/>
      </c>
      <c r="F9" s="17">
        <f>Assumptions!$B$67*F8</f>
        <v/>
      </c>
      <c r="G9" s="17">
        <f>Assumptions!$B$67*G8</f>
        <v/>
      </c>
    </row>
    <row r="10">
      <c r="A10" s="6" t="inlineStr">
        <is>
          <t xml:space="preserve">  − Churn (× opening base)</t>
        </is>
      </c>
      <c r="C10" s="17">
        <f>-Assumptions!$B$68*C8</f>
        <v/>
      </c>
      <c r="D10" s="17">
        <f>-Assumptions!$B$68*D8</f>
        <v/>
      </c>
      <c r="E10" s="17">
        <f>-Assumptions!$B$68*E8</f>
        <v/>
      </c>
      <c r="F10" s="17">
        <f>-Assumptions!$B$68*F8</f>
        <v/>
      </c>
      <c r="G10" s="17">
        <f>-Assumptions!$B$68*G8</f>
        <v/>
      </c>
    </row>
    <row r="11">
      <c r="A11" s="18" t="inlineStr">
        <is>
          <t xml:space="preserve">  Closing subscribers</t>
        </is>
      </c>
      <c r="B11" s="19">
        <f>Assumptions!$B$65</f>
        <v/>
      </c>
      <c r="C11" s="19">
        <f>C8+C9+C10</f>
        <v/>
      </c>
      <c r="D11" s="19">
        <f>D8+D9+D10</f>
        <v/>
      </c>
      <c r="E11" s="19">
        <f>E8+E9+E10</f>
        <v/>
      </c>
      <c r="F11" s="19">
        <f>F8+F9+F10</f>
        <v/>
      </c>
      <c r="G11" s="19">
        <f>G8+G9+G10</f>
        <v/>
      </c>
    </row>
    <row r="13">
      <c r="A13" s="5" t="inlineStr">
        <is>
          <t>Mobile prepaid</t>
        </is>
      </c>
    </row>
    <row r="14">
      <c r="A14" s="6" t="inlineStr">
        <is>
          <t xml:space="preserve">  Opening subscribers</t>
        </is>
      </c>
      <c r="B14" s="16" t="inlineStr">
        <is>
          <t>""</t>
        </is>
      </c>
      <c r="C14" s="17">
        <f>Assumptions!$B$73</f>
        <v/>
      </c>
      <c r="D14" s="17">
        <f>C17</f>
        <v/>
      </c>
      <c r="E14" s="17">
        <f>D17</f>
        <v/>
      </c>
      <c r="F14" s="17">
        <f>E17</f>
        <v/>
      </c>
      <c r="G14" s="17">
        <f>F17</f>
        <v/>
      </c>
    </row>
    <row r="15">
      <c r="A15" s="6" t="inlineStr">
        <is>
          <t xml:space="preserve">  + Gross adds</t>
        </is>
      </c>
      <c r="C15" s="17">
        <f>Assumptions!$B$75*C14</f>
        <v/>
      </c>
      <c r="D15" s="17">
        <f>Assumptions!$B$75*D14</f>
        <v/>
      </c>
      <c r="E15" s="17">
        <f>Assumptions!$B$75*E14</f>
        <v/>
      </c>
      <c r="F15" s="17">
        <f>Assumptions!$B$75*F14</f>
        <v/>
      </c>
      <c r="G15" s="17">
        <f>Assumptions!$B$75*G14</f>
        <v/>
      </c>
    </row>
    <row r="16">
      <c r="A16" s="6" t="inlineStr">
        <is>
          <t xml:space="preserve">  − Churn (× opening base)</t>
        </is>
      </c>
      <c r="C16" s="17">
        <f>-Assumptions!$B$76*C14</f>
        <v/>
      </c>
      <c r="D16" s="17">
        <f>-Assumptions!$B$76*D14</f>
        <v/>
      </c>
      <c r="E16" s="17">
        <f>-Assumptions!$B$76*E14</f>
        <v/>
      </c>
      <c r="F16" s="17">
        <f>-Assumptions!$B$76*F14</f>
        <v/>
      </c>
      <c r="G16" s="17">
        <f>-Assumptions!$B$76*G14</f>
        <v/>
      </c>
    </row>
    <row r="17">
      <c r="A17" s="18" t="inlineStr">
        <is>
          <t xml:space="preserve">  Closing subscribers</t>
        </is>
      </c>
      <c r="B17" s="19">
        <f>Assumptions!$B$73</f>
        <v/>
      </c>
      <c r="C17" s="19">
        <f>C14+C15+C16</f>
        <v/>
      </c>
      <c r="D17" s="19">
        <f>D14+D15+D16</f>
        <v/>
      </c>
      <c r="E17" s="19">
        <f>E14+E15+E16</f>
        <v/>
      </c>
      <c r="F17" s="19">
        <f>F14+F15+F16</f>
        <v/>
      </c>
      <c r="G17" s="19">
        <f>G14+G15+G16</f>
        <v/>
      </c>
    </row>
    <row r="19">
      <c r="A19" s="5" t="inlineStr">
        <is>
          <t>Fixed broadband</t>
        </is>
      </c>
    </row>
    <row r="20">
      <c r="A20" s="6" t="inlineStr">
        <is>
          <t xml:space="preserve">  Opening subscribers</t>
        </is>
      </c>
      <c r="B20" s="16" t="inlineStr">
        <is>
          <t>""</t>
        </is>
      </c>
      <c r="C20" s="17">
        <f>Assumptions!$B$81</f>
        <v/>
      </c>
      <c r="D20" s="17">
        <f>C23</f>
        <v/>
      </c>
      <c r="E20" s="17">
        <f>D23</f>
        <v/>
      </c>
      <c r="F20" s="17">
        <f>E23</f>
        <v/>
      </c>
      <c r="G20" s="17">
        <f>F23</f>
        <v/>
      </c>
    </row>
    <row r="21">
      <c r="A21" s="6" t="inlineStr">
        <is>
          <t xml:space="preserve">  + Gross adds</t>
        </is>
      </c>
      <c r="C21" s="17">
        <f>Assumptions!$B$83*C20</f>
        <v/>
      </c>
      <c r="D21" s="17">
        <f>Assumptions!$B$83*D20</f>
        <v/>
      </c>
      <c r="E21" s="17">
        <f>Assumptions!$B$83*E20</f>
        <v/>
      </c>
      <c r="F21" s="17">
        <f>Assumptions!$B$83*F20</f>
        <v/>
      </c>
      <c r="G21" s="17">
        <f>Assumptions!$B$83*G20</f>
        <v/>
      </c>
    </row>
    <row r="22">
      <c r="A22" s="6" t="inlineStr">
        <is>
          <t xml:space="preserve">  − Churn (× opening base)</t>
        </is>
      </c>
      <c r="C22" s="17">
        <f>-Assumptions!$B$84*C20</f>
        <v/>
      </c>
      <c r="D22" s="17">
        <f>-Assumptions!$B$84*D20</f>
        <v/>
      </c>
      <c r="E22" s="17">
        <f>-Assumptions!$B$84*E20</f>
        <v/>
      </c>
      <c r="F22" s="17">
        <f>-Assumptions!$B$84*F20</f>
        <v/>
      </c>
      <c r="G22" s="17">
        <f>-Assumptions!$B$84*G20</f>
        <v/>
      </c>
    </row>
    <row r="23">
      <c r="A23" s="18" t="inlineStr">
        <is>
          <t xml:space="preserve">  Closing subscribers</t>
        </is>
      </c>
      <c r="B23" s="19">
        <f>Assumptions!$B$81</f>
        <v/>
      </c>
      <c r="C23" s="19">
        <f>C20+C21+C22</f>
        <v/>
      </c>
      <c r="D23" s="19">
        <f>D20+D21+D22</f>
        <v/>
      </c>
      <c r="E23" s="19">
        <f>E20+E21+E22</f>
        <v/>
      </c>
      <c r="F23" s="19">
        <f>F20+F21+F22</f>
        <v/>
      </c>
      <c r="G23" s="19">
        <f>G20+G21+G22</f>
        <v/>
      </c>
    </row>
    <row r="25">
      <c r="A25" s="3" t="inlineStr">
        <is>
          <t>ARPU  (SAR / month)</t>
        </is>
      </c>
    </row>
    <row r="26">
      <c r="A26" s="6" t="inlineStr">
        <is>
          <t xml:space="preserve">  Mobile postpaid</t>
        </is>
      </c>
      <c r="B26" s="20">
        <f>Assumptions!$B$66</f>
        <v/>
      </c>
      <c r="C26" s="17">
        <f>B26*(1+Assumptions!$B$69)</f>
        <v/>
      </c>
      <c r="D26" s="17">
        <f>C26*(1+Assumptions!$B$69)</f>
        <v/>
      </c>
      <c r="E26" s="17">
        <f>D26*(1+Assumptions!$B$69)</f>
        <v/>
      </c>
      <c r="F26" s="17">
        <f>E26*(1+Assumptions!$B$69)</f>
        <v/>
      </c>
      <c r="G26" s="17">
        <f>F26*(1+Assumptions!$B$69)</f>
        <v/>
      </c>
    </row>
    <row r="27">
      <c r="A27" s="6" t="inlineStr">
        <is>
          <t xml:space="preserve">  Mobile prepaid</t>
        </is>
      </c>
      <c r="B27" s="20">
        <f>Assumptions!$B$74</f>
        <v/>
      </c>
      <c r="C27" s="17">
        <f>B27*(1+Assumptions!$B$77)</f>
        <v/>
      </c>
      <c r="D27" s="17">
        <f>C27*(1+Assumptions!$B$77)</f>
        <v/>
      </c>
      <c r="E27" s="17">
        <f>D27*(1+Assumptions!$B$77)</f>
        <v/>
      </c>
      <c r="F27" s="17">
        <f>E27*(1+Assumptions!$B$77)</f>
        <v/>
      </c>
      <c r="G27" s="17">
        <f>F27*(1+Assumptions!$B$77)</f>
        <v/>
      </c>
    </row>
    <row r="28">
      <c r="A28" s="6" t="inlineStr">
        <is>
          <t xml:space="preserve">  Fixed broadband</t>
        </is>
      </c>
      <c r="B28" s="20">
        <f>Assumptions!$B$82</f>
        <v/>
      </c>
      <c r="C28" s="17">
        <f>B28*(1+Assumptions!$B$85)</f>
        <v/>
      </c>
      <c r="D28" s="17">
        <f>C28*(1+Assumptions!$B$85)</f>
        <v/>
      </c>
      <c r="E28" s="17">
        <f>D28*(1+Assumptions!$B$85)</f>
        <v/>
      </c>
      <c r="F28" s="17">
        <f>E28*(1+Assumptions!$B$85)</f>
        <v/>
      </c>
      <c r="G28" s="17">
        <f>F28*(1+Assumptions!$B$85)</f>
        <v/>
      </c>
    </row>
    <row r="30">
      <c r="A30" s="3" t="inlineStr">
        <is>
          <t>IMPLIED SEGMENT REVENUE  (SAR bn)</t>
        </is>
      </c>
    </row>
    <row r="31">
      <c r="A31" s="6" t="inlineStr">
        <is>
          <t xml:space="preserve">  Mobile postpaid</t>
        </is>
      </c>
      <c r="B31" s="21">
        <f>B11*B26*12/1000</f>
        <v/>
      </c>
      <c r="C31" s="21">
        <f>C11*C26*12/1000</f>
        <v/>
      </c>
      <c r="D31" s="21">
        <f>D11*D26*12/1000</f>
        <v/>
      </c>
      <c r="E31" s="21">
        <f>E11*E26*12/1000</f>
        <v/>
      </c>
      <c r="F31" s="21">
        <f>F11*F26*12/1000</f>
        <v/>
      </c>
      <c r="G31" s="21">
        <f>G11*G26*12/1000</f>
        <v/>
      </c>
    </row>
    <row r="32">
      <c r="A32" s="6" t="inlineStr">
        <is>
          <t xml:space="preserve">  Mobile prepaid</t>
        </is>
      </c>
      <c r="B32" s="21">
        <f>B17*B27*12/1000</f>
        <v/>
      </c>
      <c r="C32" s="21">
        <f>C17*C27*12/1000</f>
        <v/>
      </c>
      <c r="D32" s="21">
        <f>D17*D27*12/1000</f>
        <v/>
      </c>
      <c r="E32" s="21">
        <f>E17*E27*12/1000</f>
        <v/>
      </c>
      <c r="F32" s="21">
        <f>F17*F27*12/1000</f>
        <v/>
      </c>
      <c r="G32" s="21">
        <f>G17*G27*12/1000</f>
        <v/>
      </c>
    </row>
    <row r="33">
      <c r="A33" s="6" t="inlineStr">
        <is>
          <t xml:space="preserve">  Fixed broadband</t>
        </is>
      </c>
      <c r="B33" s="21">
        <f>B23*B28*12/1000</f>
        <v/>
      </c>
      <c r="C33" s="21">
        <f>C23*C28*12/1000</f>
        <v/>
      </c>
      <c r="D33" s="21">
        <f>D23*D28*12/1000</f>
        <v/>
      </c>
      <c r="E33" s="21">
        <f>E23*E28*12/1000</f>
        <v/>
      </c>
      <c r="F33" s="21">
        <f>F23*F28*12/1000</f>
        <v/>
      </c>
      <c r="G33" s="21">
        <f>G23*G28*12/1000</f>
        <v/>
      </c>
    </row>
    <row r="34">
      <c r="A34" s="6" t="inlineStr">
        <is>
          <t xml:space="preserve">  B2B connectivity</t>
        </is>
      </c>
      <c r="B34" s="21">
        <f>Assumptions!$B$89</f>
        <v/>
      </c>
      <c r="C34" s="21">
        <f>B34*(1+Assumptions!$B$90)</f>
        <v/>
      </c>
      <c r="D34" s="21">
        <f>C34*(1+Assumptions!$B$90)</f>
        <v/>
      </c>
      <c r="E34" s="21">
        <f>D34*(1+Assumptions!$B$90)</f>
        <v/>
      </c>
      <c r="F34" s="21">
        <f>E34*(1+Assumptions!$B$90)</f>
        <v/>
      </c>
      <c r="G34" s="21">
        <f>F34*(1+Assumptions!$B$90)</f>
        <v/>
      </c>
    </row>
    <row r="35">
      <c r="A35" s="6" t="inlineStr">
        <is>
          <t xml:space="preserve">  ICT / cloud</t>
        </is>
      </c>
      <c r="B35" s="21">
        <f>Assumptions!$B$94</f>
        <v/>
      </c>
      <c r="C35" s="21">
        <f>B35*(1+Assumptions!$B$95)</f>
        <v/>
      </c>
      <c r="D35" s="21">
        <f>C35*(1+Assumptions!$B$95)</f>
        <v/>
      </c>
      <c r="E35" s="21">
        <f>D35*(1+Assumptions!$B$95)</f>
        <v/>
      </c>
      <c r="F35" s="21">
        <f>E35*(1+Assumptions!$B$95)</f>
        <v/>
      </c>
      <c r="G35" s="21">
        <f>F35*(1+Assumptions!$B$95)</f>
        <v/>
      </c>
    </row>
    <row r="36">
      <c r="A36" s="6" t="inlineStr">
        <is>
          <t xml:space="preserve">  Wholesale</t>
        </is>
      </c>
      <c r="B36" s="21">
        <f>Assumptions!$B$99</f>
        <v/>
      </c>
      <c r="C36" s="21">
        <f>B36*(1+Assumptions!$B$100)</f>
        <v/>
      </c>
      <c r="D36" s="21">
        <f>C36*(1+Assumptions!$B$100)</f>
        <v/>
      </c>
      <c r="E36" s="21">
        <f>D36*(1+Assumptions!$B$100)</f>
        <v/>
      </c>
      <c r="F36" s="21">
        <f>E36*(1+Assumptions!$B$100)</f>
        <v/>
      </c>
      <c r="G36" s="21">
        <f>F36*(1+Assumptions!$B$100)</f>
        <v/>
      </c>
    </row>
    <row r="38">
      <c r="A38" s="18" t="inlineStr">
        <is>
          <t>TOTAL SERVICE REVENUE</t>
        </is>
      </c>
      <c r="B38" s="22">
        <f>B31+B32+B33+B34+B35+B36</f>
        <v/>
      </c>
      <c r="C38" s="22">
        <f>C31+C32+C33+C34+C35+C36</f>
        <v/>
      </c>
      <c r="D38" s="22">
        <f>D31+D32+D33+D34+D35+D36</f>
        <v/>
      </c>
      <c r="E38" s="22">
        <f>E31+E32+E33+E34+E35+E36</f>
        <v/>
      </c>
      <c r="F38" s="22">
        <f>F31+F32+F33+F34+F35+F36</f>
        <v/>
      </c>
      <c r="G38" s="22">
        <f>G31+G32+G33+G34+G35+G36</f>
        <v/>
      </c>
    </row>
    <row r="39">
      <c r="A39" s="6" t="inlineStr">
        <is>
          <t>Equipment / handset revenue</t>
        </is>
      </c>
      <c r="B39" s="21">
        <f>Assumptions!$B$104</f>
        <v/>
      </c>
      <c r="C39" s="21">
        <f>B39*(1+Assumptions!$B$105)</f>
        <v/>
      </c>
      <c r="D39" s="21">
        <f>C39*(1+Assumptions!$B$105)</f>
        <v/>
      </c>
      <c r="E39" s="21">
        <f>D39*(1+Assumptions!$B$105)</f>
        <v/>
      </c>
      <c r="F39" s="21">
        <f>E39*(1+Assumptions!$B$105)</f>
        <v/>
      </c>
      <c r="G39" s="21">
        <f>F39*(1+Assumptions!$B$105)</f>
        <v/>
      </c>
    </row>
    <row r="40">
      <c r="A40" s="18" t="inlineStr">
        <is>
          <t>TOTAL REVENUE  (service + equipment)</t>
        </is>
      </c>
      <c r="B40" s="22">
        <f>B38+B39</f>
        <v/>
      </c>
      <c r="C40" s="22">
        <f>C38+C39</f>
        <v/>
      </c>
      <c r="D40" s="22">
        <f>D38+D39</f>
        <v/>
      </c>
      <c r="E40" s="22">
        <f>E38+E39</f>
        <v/>
      </c>
      <c r="F40" s="22">
        <f>F38+F39</f>
        <v/>
      </c>
      <c r="G40" s="22">
        <f>G38+G39</f>
        <v/>
      </c>
    </row>
    <row r="42">
      <c r="A42" s="3" t="inlineStr">
        <is>
          <t>OPERATIONAL KPIs</t>
        </is>
      </c>
    </row>
    <row r="43">
      <c r="A43" s="6" t="inlineStr">
        <is>
          <t xml:space="preserve">  Total mobile subscribers (mm)</t>
        </is>
      </c>
      <c r="B43" s="17">
        <f>B11+B17</f>
        <v/>
      </c>
      <c r="C43" s="17">
        <f>C11+C17</f>
        <v/>
      </c>
      <c r="D43" s="17">
        <f>D11+D17</f>
        <v/>
      </c>
      <c r="E43" s="17">
        <f>E11+E17</f>
        <v/>
      </c>
      <c r="F43" s="17">
        <f>F11+F17</f>
        <v/>
      </c>
      <c r="G43" s="17">
        <f>G11+G17</f>
        <v/>
      </c>
    </row>
    <row r="44">
      <c r="A44" s="6" t="inlineStr">
        <is>
          <t xml:space="preserve">  Postpaid mix (% of mobile base)</t>
        </is>
      </c>
      <c r="B44" s="23">
        <f>B11/B43</f>
        <v/>
      </c>
      <c r="C44" s="23">
        <f>C11/C43</f>
        <v/>
      </c>
      <c r="D44" s="23">
        <f>D11/D43</f>
        <v/>
      </c>
      <c r="E44" s="23">
        <f>E11/E43</f>
        <v/>
      </c>
      <c r="F44" s="23">
        <f>F11/F43</f>
        <v/>
      </c>
      <c r="G44" s="23">
        <f>G11/G43</f>
        <v/>
      </c>
    </row>
    <row r="45">
      <c r="A45" s="6" t="inlineStr">
        <is>
          <t xml:space="preserve">  Blended mobile ARPU (SAR / month)</t>
        </is>
      </c>
      <c r="B45" s="20">
        <f>(B31+B32)*1000/B43/12</f>
        <v/>
      </c>
      <c r="C45" s="20">
        <f>(C31+C32)*1000/C43/12</f>
        <v/>
      </c>
      <c r="D45" s="20">
        <f>(D31+D32)*1000/D43/12</f>
        <v/>
      </c>
      <c r="E45" s="20">
        <f>(E31+E32)*1000/E43/12</f>
        <v/>
      </c>
      <c r="F45" s="20">
        <f>(F31+F32)*1000/F43/12</f>
        <v/>
      </c>
      <c r="G45" s="20">
        <f>(G31+G32)*1000/G43/12</f>
        <v/>
      </c>
    </row>
    <row r="46">
      <c r="A46" s="6" t="inlineStr">
        <is>
          <t xml:space="preserve">  B2B + ICT mix (% of service rev)</t>
        </is>
      </c>
      <c r="B46" s="23">
        <f>(B34+B35)/B38</f>
        <v/>
      </c>
      <c r="C46" s="23">
        <f>(C34+C35)/C38</f>
        <v/>
      </c>
      <c r="D46" s="23">
        <f>(D34+D35)/D38</f>
        <v/>
      </c>
      <c r="E46" s="23">
        <f>(E34+E35)/E38</f>
        <v/>
      </c>
      <c r="F46" s="23">
        <f>(F34+F35)/F38</f>
        <v/>
      </c>
      <c r="G46" s="23">
        <f>(G34+G35)/G38</f>
        <v/>
      </c>
    </row>
    <row r="47">
      <c r="A47" s="6" t="inlineStr">
        <is>
          <t xml:space="preserve">  Service revenue growth (yoy)</t>
        </is>
      </c>
      <c r="B47" s="16" t="inlineStr">
        <is>
          <t>""</t>
        </is>
      </c>
      <c r="C47" s="23">
        <f>C38/B38-1</f>
        <v/>
      </c>
      <c r="D47" s="23">
        <f>D38/C38-1</f>
        <v/>
      </c>
      <c r="E47" s="23">
        <f>E38/D38-1</f>
        <v/>
      </c>
      <c r="F47" s="23">
        <f>F38/E38-1</f>
        <v/>
      </c>
      <c r="G47" s="23">
        <f>G38/F38-1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SPECTRUM LICENSE SCHEDULE</t>
        </is>
      </c>
    </row>
    <row r="2">
      <c r="A2" s="2" t="inlineStr">
        <is>
          <t>Three cohorts. Cohort 1 &amp; 2 are on the books at Y0 and amortise from there. Cohort 3 lands as a lumpy cash payment in year c3_cash_y, then amortises over its license term.</t>
        </is>
      </c>
    </row>
    <row r="4">
      <c r="A4" s="14" t="n"/>
      <c r="B4" s="15" t="inlineStr">
        <is>
          <t>Y0 (base)</t>
        </is>
      </c>
      <c r="C4" s="15" t="inlineStr">
        <is>
          <t>Y1</t>
        </is>
      </c>
      <c r="D4" s="15" t="inlineStr">
        <is>
          <t>Y2</t>
        </is>
      </c>
      <c r="E4" s="15" t="inlineStr">
        <is>
          <t>Y3</t>
        </is>
      </c>
      <c r="F4" s="15" t="inlineStr">
        <is>
          <t>Y4</t>
        </is>
      </c>
      <c r="G4" s="15" t="inlineStr">
        <is>
          <t>Y5</t>
        </is>
      </c>
    </row>
    <row r="6">
      <c r="A6" s="3" t="inlineStr">
        <is>
          <t>COHORT 1 — Pre-2020 legacy 2G/3G</t>
        </is>
      </c>
    </row>
    <row r="7">
      <c r="A7" s="6" t="inlineStr">
        <is>
          <t xml:space="preserve">  Opening NBV</t>
        </is>
      </c>
      <c r="B7" s="16" t="inlineStr">
        <is>
          <t>""</t>
        </is>
      </c>
      <c r="C7" s="21">
        <f>Assumptions!$B$124</f>
        <v/>
      </c>
      <c r="D7" s="21">
        <f>C9</f>
        <v/>
      </c>
      <c r="E7" s="21">
        <f>D9</f>
        <v/>
      </c>
      <c r="F7" s="21">
        <f>E9</f>
        <v/>
      </c>
      <c r="G7" s="21">
        <f>F9</f>
        <v/>
      </c>
    </row>
    <row r="8">
      <c r="A8" s="6" t="inlineStr">
        <is>
          <t xml:space="preserve">  − Annual amortisation</t>
        </is>
      </c>
      <c r="C8" s="21">
        <f>-MIN((Assumptions!$B$124/Assumptions!$B$125),C7)</f>
        <v/>
      </c>
      <c r="D8" s="21">
        <f>-MIN((Assumptions!$B$124/Assumptions!$B$125),D7)</f>
        <v/>
      </c>
      <c r="E8" s="21">
        <f>-MIN((Assumptions!$B$124/Assumptions!$B$125),E7)</f>
        <v/>
      </c>
      <c r="F8" s="21">
        <f>-MIN((Assumptions!$B$124/Assumptions!$B$125),F7)</f>
        <v/>
      </c>
      <c r="G8" s="21">
        <f>-MIN((Assumptions!$B$124/Assumptions!$B$125),G7)</f>
        <v/>
      </c>
    </row>
    <row r="9">
      <c r="A9" s="18" t="inlineStr">
        <is>
          <t xml:space="preserve">  Closing NBV</t>
        </is>
      </c>
      <c r="B9" s="22">
        <f>Assumptions!$B$124</f>
        <v/>
      </c>
      <c r="C9" s="22">
        <f>C7+C8</f>
        <v/>
      </c>
      <c r="D9" s="22">
        <f>D7+D8</f>
        <v/>
      </c>
      <c r="E9" s="22">
        <f>E7+E8</f>
        <v/>
      </c>
      <c r="F9" s="22">
        <f>F7+F8</f>
        <v/>
      </c>
      <c r="G9" s="22">
        <f>G7+G8</f>
        <v/>
      </c>
    </row>
    <row r="11">
      <c r="A11" s="3" t="inlineStr">
        <is>
          <t>COHORT 2 — 2020-2024 licenses (4G refarm + initial 5G)</t>
        </is>
      </c>
    </row>
    <row r="12">
      <c r="A12" s="6" t="inlineStr">
        <is>
          <t xml:space="preserve">  Opening NBV</t>
        </is>
      </c>
      <c r="B12" s="16" t="inlineStr">
        <is>
          <t>""</t>
        </is>
      </c>
      <c r="C12" s="21">
        <f>Assumptions!$B$126</f>
        <v/>
      </c>
      <c r="D12" s="21">
        <f>C14</f>
        <v/>
      </c>
      <c r="E12" s="21">
        <f>D14</f>
        <v/>
      </c>
      <c r="F12" s="21">
        <f>E14</f>
        <v/>
      </c>
      <c r="G12" s="21">
        <f>F14</f>
        <v/>
      </c>
    </row>
    <row r="13">
      <c r="A13" s="6" t="inlineStr">
        <is>
          <t xml:space="preserve">  − Annual amortisation</t>
        </is>
      </c>
      <c r="C13" s="21">
        <f>-MIN((Assumptions!$B$126/Assumptions!$B$127),C12)</f>
        <v/>
      </c>
      <c r="D13" s="21">
        <f>-MIN((Assumptions!$B$126/Assumptions!$B$127),D12)</f>
        <v/>
      </c>
      <c r="E13" s="21">
        <f>-MIN((Assumptions!$B$126/Assumptions!$B$127),E12)</f>
        <v/>
      </c>
      <c r="F13" s="21">
        <f>-MIN((Assumptions!$B$126/Assumptions!$B$127),F12)</f>
        <v/>
      </c>
      <c r="G13" s="21">
        <f>-MIN((Assumptions!$B$126/Assumptions!$B$127),G12)</f>
        <v/>
      </c>
    </row>
    <row r="14">
      <c r="A14" s="18" t="inlineStr">
        <is>
          <t xml:space="preserve">  Closing NBV</t>
        </is>
      </c>
      <c r="B14" s="22">
        <f>Assumptions!$B$126</f>
        <v/>
      </c>
      <c r="C14" s="22">
        <f>C12+C13</f>
        <v/>
      </c>
      <c r="D14" s="22">
        <f>D12+D13</f>
        <v/>
      </c>
      <c r="E14" s="22">
        <f>E12+E13</f>
        <v/>
      </c>
      <c r="F14" s="22">
        <f>F12+F13</f>
        <v/>
      </c>
      <c r="G14" s="22">
        <f>G12+G13</f>
        <v/>
      </c>
    </row>
    <row r="16">
      <c r="A16" s="3" t="inlineStr">
        <is>
          <t>COHORT 3 — Future 5G mid-band (auction in year c3_cash_y)</t>
        </is>
      </c>
    </row>
    <row r="17">
      <c r="A17" s="6" t="inlineStr">
        <is>
          <t xml:space="preserve">  Cash payment (auction)</t>
        </is>
      </c>
      <c r="B17" s="21">
        <f>0</f>
        <v/>
      </c>
      <c r="C17" s="21">
        <f>IF(1=Assumptions!$B$128,Assumptions!$B$129,0)</f>
        <v/>
      </c>
      <c r="D17" s="21">
        <f>IF(2=Assumptions!$B$128,Assumptions!$B$129,0)</f>
        <v/>
      </c>
      <c r="E17" s="21">
        <f>IF(3=Assumptions!$B$128,Assumptions!$B$129,0)</f>
        <v/>
      </c>
      <c r="F17" s="21">
        <f>IF(4=Assumptions!$B$128,Assumptions!$B$129,0)</f>
        <v/>
      </c>
      <c r="G17" s="21">
        <f>IF(5=Assumptions!$B$128,Assumptions!$B$129,0)</f>
        <v/>
      </c>
    </row>
    <row r="18">
      <c r="A18" s="6" t="inlineStr">
        <is>
          <t xml:space="preserve">  Opening NBV (+ current-year cash)</t>
        </is>
      </c>
      <c r="B18" s="21">
        <f>0</f>
        <v/>
      </c>
      <c r="C18" s="21">
        <f>0+C17</f>
        <v/>
      </c>
      <c r="D18" s="21">
        <f>C20+D17</f>
        <v/>
      </c>
      <c r="E18" s="21">
        <f>D20+E17</f>
        <v/>
      </c>
      <c r="F18" s="21">
        <f>E20+F17</f>
        <v/>
      </c>
      <c r="G18" s="21">
        <f>F20+G17</f>
        <v/>
      </c>
    </row>
    <row r="19">
      <c r="A19" s="6" t="inlineStr">
        <is>
          <t xml:space="preserve">  − Annual amortisation</t>
        </is>
      </c>
      <c r="C19" s="21">
        <f>IF(C18&gt;0,-MIN((Assumptions!$B$129/Assumptions!$B$130),C18),0)</f>
        <v/>
      </c>
      <c r="D19" s="21">
        <f>IF(D18&gt;0,-MIN((Assumptions!$B$129/Assumptions!$B$130),D18),0)</f>
        <v/>
      </c>
      <c r="E19" s="21">
        <f>IF(E18&gt;0,-MIN((Assumptions!$B$129/Assumptions!$B$130),E18),0)</f>
        <v/>
      </c>
      <c r="F19" s="21">
        <f>IF(F18&gt;0,-MIN((Assumptions!$B$129/Assumptions!$B$130),F18),0)</f>
        <v/>
      </c>
      <c r="G19" s="21">
        <f>IF(G18&gt;0,-MIN((Assumptions!$B$129/Assumptions!$B$130),G18),0)</f>
        <v/>
      </c>
    </row>
    <row r="20">
      <c r="A20" s="18" t="inlineStr">
        <is>
          <t xml:space="preserve">  Closing NBV</t>
        </is>
      </c>
      <c r="B20" s="22">
        <f>0</f>
        <v/>
      </c>
      <c r="C20" s="22">
        <f>C18+C19</f>
        <v/>
      </c>
      <c r="D20" s="22">
        <f>D18+D19</f>
        <v/>
      </c>
      <c r="E20" s="22">
        <f>E18+E19</f>
        <v/>
      </c>
      <c r="F20" s="22">
        <f>F18+F19</f>
        <v/>
      </c>
      <c r="G20" s="22">
        <f>G18+G19</f>
        <v/>
      </c>
    </row>
    <row r="22">
      <c r="A22" s="3" t="inlineStr">
        <is>
          <t>TOTALS</t>
        </is>
      </c>
    </row>
    <row r="23">
      <c r="A23" s="18" t="inlineStr">
        <is>
          <t>Total spectrum NBV (to BS)</t>
        </is>
      </c>
      <c r="B23" s="22">
        <f>B9+B14+B20</f>
        <v/>
      </c>
      <c r="C23" s="22">
        <f>C9+C14+C20</f>
        <v/>
      </c>
      <c r="D23" s="22">
        <f>D9+D14+D20</f>
        <v/>
      </c>
      <c r="E23" s="22">
        <f>E9+E14+E20</f>
        <v/>
      </c>
      <c r="F23" s="22">
        <f>F9+F14+F20</f>
        <v/>
      </c>
      <c r="G23" s="22">
        <f>G9+G14+G20</f>
        <v/>
      </c>
    </row>
    <row r="24">
      <c r="A24" s="5" t="inlineStr">
        <is>
          <t>Total amortisation (to IS)</t>
        </is>
      </c>
      <c r="B24" s="16" t="inlineStr">
        <is>
          <t>""</t>
        </is>
      </c>
      <c r="C24" s="24">
        <f>C8+C13+C19</f>
        <v/>
      </c>
      <c r="D24" s="24">
        <f>D8+D13+D19</f>
        <v/>
      </c>
      <c r="E24" s="24">
        <f>E8+E13+E19</f>
        <v/>
      </c>
      <c r="F24" s="24">
        <f>F8+F13+F19</f>
        <v/>
      </c>
      <c r="G24" s="24">
        <f>G8+G13+G19</f>
        <v/>
      </c>
    </row>
    <row r="25">
      <c r="A25" s="6" t="inlineStr">
        <is>
          <t>Total cash payments (to CFS)</t>
        </is>
      </c>
      <c r="B25" s="16" t="inlineStr">
        <is>
          <t>""</t>
        </is>
      </c>
      <c r="C25" s="21">
        <f>C17</f>
        <v/>
      </c>
      <c r="D25" s="21">
        <f>D17</f>
        <v/>
      </c>
      <c r="E25" s="21">
        <f>E17</f>
        <v/>
      </c>
      <c r="F25" s="21">
        <f>F17</f>
        <v/>
      </c>
      <c r="G25" s="21">
        <f>G17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IFRS 16 LEASE SCHEDULE</t>
        </is>
      </c>
    </row>
    <row r="2">
      <c r="A2" s="2" t="inlineStr">
        <is>
          <t>Right-of-use asset and lease liability rollforward. Additions are non-cash; cash payments hit CFS financing.</t>
        </is>
      </c>
    </row>
    <row r="4">
      <c r="A4" s="14" t="n"/>
      <c r="B4" s="15" t="inlineStr">
        <is>
          <t>Y0 (base)</t>
        </is>
      </c>
      <c r="C4" s="15" t="inlineStr">
        <is>
          <t>Y1</t>
        </is>
      </c>
      <c r="D4" s="15" t="inlineStr">
        <is>
          <t>Y2</t>
        </is>
      </c>
      <c r="E4" s="15" t="inlineStr">
        <is>
          <t>Y3</t>
        </is>
      </c>
      <c r="F4" s="15" t="inlineStr">
        <is>
          <t>Y4</t>
        </is>
      </c>
      <c r="G4" s="15" t="inlineStr">
        <is>
          <t>Y5</t>
        </is>
      </c>
    </row>
    <row r="6">
      <c r="A6" s="3" t="inlineStr">
        <is>
          <t>RIGHT-OF-USE ASSET</t>
        </is>
      </c>
    </row>
    <row r="7">
      <c r="A7" s="6" t="inlineStr">
        <is>
          <t xml:space="preserve">  Opening ROU</t>
        </is>
      </c>
      <c r="B7" s="16" t="inlineStr">
        <is>
          <t>""</t>
        </is>
      </c>
      <c r="C7" s="21">
        <f>Assumptions!$B$133</f>
        <v/>
      </c>
      <c r="D7" s="21">
        <f>C10</f>
        <v/>
      </c>
      <c r="E7" s="21">
        <f>D10</f>
        <v/>
      </c>
      <c r="F7" s="21">
        <f>E10</f>
        <v/>
      </c>
      <c r="G7" s="21">
        <f>F10</f>
        <v/>
      </c>
    </row>
    <row r="8">
      <c r="A8" s="6" t="inlineStr">
        <is>
          <t xml:space="preserve">  + New lease additions</t>
        </is>
      </c>
      <c r="C8" s="21">
        <f>Assumptions!$B$136</f>
        <v/>
      </c>
      <c r="D8" s="21">
        <f>Assumptions!$B$136</f>
        <v/>
      </c>
      <c r="E8" s="21">
        <f>Assumptions!$B$136</f>
        <v/>
      </c>
      <c r="F8" s="21">
        <f>Assumptions!$B$136</f>
        <v/>
      </c>
      <c r="G8" s="21">
        <f>Assumptions!$B$136</f>
        <v/>
      </c>
    </row>
    <row r="9">
      <c r="A9" s="6" t="inlineStr">
        <is>
          <t xml:space="preserve">  − ROU depreciation</t>
        </is>
      </c>
      <c r="C9" s="21">
        <f>-(C7+C8)/Assumptions!$B$134</f>
        <v/>
      </c>
      <c r="D9" s="21">
        <f>-(D7+D8)/Assumptions!$B$134</f>
        <v/>
      </c>
      <c r="E9" s="21">
        <f>-(E7+E8)/Assumptions!$B$134</f>
        <v/>
      </c>
      <c r="F9" s="21">
        <f>-(F7+F8)/Assumptions!$B$134</f>
        <v/>
      </c>
      <c r="G9" s="21">
        <f>-(G7+G8)/Assumptions!$B$134</f>
        <v/>
      </c>
    </row>
    <row r="10">
      <c r="A10" s="18" t="inlineStr">
        <is>
          <t xml:space="preserve">  Closing ROU</t>
        </is>
      </c>
      <c r="B10" s="22">
        <f>Assumptions!$B$133</f>
        <v/>
      </c>
      <c r="C10" s="22">
        <f>C7+C8+C9</f>
        <v/>
      </c>
      <c r="D10" s="22">
        <f>D7+D8+D9</f>
        <v/>
      </c>
      <c r="E10" s="22">
        <f>E7+E8+E9</f>
        <v/>
      </c>
      <c r="F10" s="22">
        <f>F7+F8+F9</f>
        <v/>
      </c>
      <c r="G10" s="22">
        <f>G7+G8+G9</f>
        <v/>
      </c>
    </row>
    <row r="12">
      <c r="A12" s="3" t="inlineStr">
        <is>
          <t>LEASE LIABILITY</t>
        </is>
      </c>
    </row>
    <row r="13">
      <c r="A13" s="6" t="inlineStr">
        <is>
          <t xml:space="preserve">  Opening lease liability</t>
        </is>
      </c>
      <c r="B13" s="16" t="inlineStr">
        <is>
          <t>""</t>
        </is>
      </c>
      <c r="C13" s="21">
        <f>Assumptions!$B$50</f>
        <v/>
      </c>
      <c r="D13" s="21">
        <f>C17</f>
        <v/>
      </c>
      <c r="E13" s="21">
        <f>D17</f>
        <v/>
      </c>
      <c r="F13" s="21">
        <f>E17</f>
        <v/>
      </c>
      <c r="G13" s="21">
        <f>F17</f>
        <v/>
      </c>
    </row>
    <row r="14">
      <c r="A14" s="6" t="inlineStr">
        <is>
          <t xml:space="preserve">  + Interest accretion</t>
        </is>
      </c>
      <c r="C14" s="21">
        <f>C13*Assumptions!$B$135</f>
        <v/>
      </c>
      <c r="D14" s="21">
        <f>D13*Assumptions!$B$135</f>
        <v/>
      </c>
      <c r="E14" s="21">
        <f>E13*Assumptions!$B$135</f>
        <v/>
      </c>
      <c r="F14" s="21">
        <f>F13*Assumptions!$B$135</f>
        <v/>
      </c>
      <c r="G14" s="21">
        <f>G13*Assumptions!$B$135</f>
        <v/>
      </c>
    </row>
    <row r="15">
      <c r="A15" s="6" t="inlineStr">
        <is>
          <t xml:space="preserve">  + New lease additions</t>
        </is>
      </c>
      <c r="C15" s="21">
        <f>C8</f>
        <v/>
      </c>
      <c r="D15" s="21">
        <f>D8</f>
        <v/>
      </c>
      <c r="E15" s="21">
        <f>E8</f>
        <v/>
      </c>
      <c r="F15" s="21">
        <f>F8</f>
        <v/>
      </c>
      <c r="G15" s="21">
        <f>G8</f>
        <v/>
      </c>
    </row>
    <row r="16">
      <c r="A16" s="6" t="inlineStr">
        <is>
          <t xml:space="preserve">  − Cash payments</t>
        </is>
      </c>
      <c r="C16" s="21">
        <f>C9-C14</f>
        <v/>
      </c>
      <c r="D16" s="21">
        <f>D9-D14</f>
        <v/>
      </c>
      <c r="E16" s="21">
        <f>E9-E14</f>
        <v/>
      </c>
      <c r="F16" s="21">
        <f>F9-F14</f>
        <v/>
      </c>
      <c r="G16" s="21">
        <f>G9-G14</f>
        <v/>
      </c>
    </row>
    <row r="17">
      <c r="A17" s="18" t="inlineStr">
        <is>
          <t xml:space="preserve">  Closing lease liability</t>
        </is>
      </c>
      <c r="B17" s="22">
        <f>Assumptions!$B$50</f>
        <v/>
      </c>
      <c r="C17" s="22">
        <f>C13+C14+C15+C16</f>
        <v/>
      </c>
      <c r="D17" s="22">
        <f>D13+D14+D15+D16</f>
        <v/>
      </c>
      <c r="E17" s="22">
        <f>E13+E14+E15+E16</f>
        <v/>
      </c>
      <c r="F17" s="22">
        <f>F13+F14+F15+F16</f>
        <v/>
      </c>
      <c r="G17" s="22">
        <f>G13+G14+G15+G16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DEBT SCHEDULE — TRANCHE WATERFALL</t>
        </is>
      </c>
    </row>
    <row r="2">
      <c r="A2" s="2" t="inlineStr">
        <is>
          <t>Four debt instruments. Per-tranche opening + issuance − repayment = closing. Lease liabilities live on the Leases sheet; pulled in below for total leverage view.</t>
        </is>
      </c>
    </row>
    <row r="4">
      <c r="A4" s="14" t="n"/>
      <c r="B4" s="15" t="inlineStr">
        <is>
          <t>Y0 (base)</t>
        </is>
      </c>
      <c r="C4" s="15" t="inlineStr">
        <is>
          <t>Y1</t>
        </is>
      </c>
      <c r="D4" s="15" t="inlineStr">
        <is>
          <t>Y2</t>
        </is>
      </c>
      <c r="E4" s="15" t="inlineStr">
        <is>
          <t>Y3</t>
        </is>
      </c>
      <c r="F4" s="15" t="inlineStr">
        <is>
          <t>Y4</t>
        </is>
      </c>
      <c r="G4" s="15" t="inlineStr">
        <is>
          <t>Y5</t>
        </is>
      </c>
    </row>
    <row r="6">
      <c r="A6" s="3" t="inlineStr">
        <is>
          <t>TRANCHE 1 — Sukuk 1 (bullet, refinanced)</t>
        </is>
      </c>
    </row>
    <row r="7">
      <c r="A7" s="6" t="inlineStr">
        <is>
          <t xml:space="preserve">  Opening balance</t>
        </is>
      </c>
      <c r="B7" s="16" t="inlineStr">
        <is>
          <t>""</t>
        </is>
      </c>
      <c r="C7" s="21">
        <f>Assumptions!$B$146</f>
        <v/>
      </c>
      <c r="D7" s="21">
        <f>C10</f>
        <v/>
      </c>
      <c r="E7" s="21">
        <f>D10</f>
        <v/>
      </c>
      <c r="F7" s="21">
        <f>E10</f>
        <v/>
      </c>
      <c r="G7" s="21">
        <f>F10</f>
        <v/>
      </c>
    </row>
    <row r="8">
      <c r="A8" s="6" t="inlineStr">
        <is>
          <t xml:space="preserve">  + Issuance</t>
        </is>
      </c>
      <c r="C8" s="21">
        <f>IF(1=Assumptions!$B$148,Assumptions!$B$146,0)</f>
        <v/>
      </c>
      <c r="D8" s="21">
        <f>IF(2=Assumptions!$B$148,Assumptions!$B$146,0)</f>
        <v/>
      </c>
      <c r="E8" s="21">
        <f>IF(3=Assumptions!$B$148,Assumptions!$B$146,0)</f>
        <v/>
      </c>
      <c r="F8" s="21">
        <f>IF(4=Assumptions!$B$148,Assumptions!$B$146,0)</f>
        <v/>
      </c>
      <c r="G8" s="21">
        <f>IF(5=Assumptions!$B$148,Assumptions!$B$146,0)</f>
        <v/>
      </c>
    </row>
    <row r="9">
      <c r="A9" s="6" t="inlineStr">
        <is>
          <t xml:space="preserve">  − Repayment</t>
        </is>
      </c>
      <c r="C9" s="21">
        <f>-IF(1=Assumptions!$B$148,Assumptions!$B$146,0)</f>
        <v/>
      </c>
      <c r="D9" s="21">
        <f>-IF(2=Assumptions!$B$148,Assumptions!$B$146,0)</f>
        <v/>
      </c>
      <c r="E9" s="21">
        <f>-IF(3=Assumptions!$B$148,Assumptions!$B$146,0)</f>
        <v/>
      </c>
      <c r="F9" s="21">
        <f>-IF(4=Assumptions!$B$148,Assumptions!$B$146,0)</f>
        <v/>
      </c>
      <c r="G9" s="21">
        <f>-IF(5=Assumptions!$B$148,Assumptions!$B$146,0)</f>
        <v/>
      </c>
    </row>
    <row r="10">
      <c r="A10" s="18" t="inlineStr">
        <is>
          <t xml:space="preserve">  Closing balance</t>
        </is>
      </c>
      <c r="B10" s="22">
        <f>Assumptions!$B$146</f>
        <v/>
      </c>
      <c r="C10" s="22">
        <f>C7+C8+C9</f>
        <v/>
      </c>
      <c r="D10" s="22">
        <f>D7+D8+D9</f>
        <v/>
      </c>
      <c r="E10" s="22">
        <f>E7+E8+E9</f>
        <v/>
      </c>
      <c r="F10" s="22">
        <f>F7+F8+F9</f>
        <v/>
      </c>
      <c r="G10" s="22">
        <f>G7+G8+G9</f>
        <v/>
      </c>
    </row>
    <row r="11">
      <c r="A11" s="6" t="inlineStr">
        <is>
          <t xml:space="preserve">  Interest expense (coupon × opening)</t>
        </is>
      </c>
      <c r="C11" s="21">
        <f>C7*Assumptions!$B$147</f>
        <v/>
      </c>
      <c r="D11" s="21">
        <f>D7*Assumptions!$B$147</f>
        <v/>
      </c>
      <c r="E11" s="21">
        <f>E7*Assumptions!$B$147</f>
        <v/>
      </c>
      <c r="F11" s="21">
        <f>F7*Assumptions!$B$147</f>
        <v/>
      </c>
      <c r="G11" s="21">
        <f>G7*Assumptions!$B$147</f>
        <v/>
      </c>
    </row>
    <row r="13">
      <c r="A13" s="3" t="inlineStr">
        <is>
          <t>TRANCHE 2 — Sukuk 2 (matures Y8)</t>
        </is>
      </c>
    </row>
    <row r="14">
      <c r="A14" s="6" t="inlineStr">
        <is>
          <t xml:space="preserve">  Opening balance</t>
        </is>
      </c>
      <c r="B14" s="16" t="inlineStr">
        <is>
          <t>""</t>
        </is>
      </c>
      <c r="C14" s="21">
        <f>Assumptions!$B$151</f>
        <v/>
      </c>
      <c r="D14" s="21">
        <f>C17</f>
        <v/>
      </c>
      <c r="E14" s="21">
        <f>D17</f>
        <v/>
      </c>
      <c r="F14" s="21">
        <f>E17</f>
        <v/>
      </c>
      <c r="G14" s="21">
        <f>F17</f>
        <v/>
      </c>
    </row>
    <row r="15">
      <c r="A15" s="6" t="inlineStr">
        <is>
          <t xml:space="preserve">  + Issuance</t>
        </is>
      </c>
      <c r="C15" s="21">
        <f>0</f>
        <v/>
      </c>
      <c r="D15" s="21">
        <f>0</f>
        <v/>
      </c>
      <c r="E15" s="21">
        <f>0</f>
        <v/>
      </c>
      <c r="F15" s="21">
        <f>0</f>
        <v/>
      </c>
      <c r="G15" s="21">
        <f>0</f>
        <v/>
      </c>
    </row>
    <row r="16">
      <c r="A16" s="6" t="inlineStr">
        <is>
          <t xml:space="preserve">  − Repayment</t>
        </is>
      </c>
      <c r="C16" s="21">
        <f>0</f>
        <v/>
      </c>
      <c r="D16" s="21">
        <f>0</f>
        <v/>
      </c>
      <c r="E16" s="21">
        <f>0</f>
        <v/>
      </c>
      <c r="F16" s="21">
        <f>0</f>
        <v/>
      </c>
      <c r="G16" s="21">
        <f>0</f>
        <v/>
      </c>
    </row>
    <row r="17">
      <c r="A17" s="18" t="inlineStr">
        <is>
          <t xml:space="preserve">  Closing balance</t>
        </is>
      </c>
      <c r="B17" s="22">
        <f>Assumptions!$B$151</f>
        <v/>
      </c>
      <c r="C17" s="22">
        <f>C14+C15+C16</f>
        <v/>
      </c>
      <c r="D17" s="22">
        <f>D14+D15+D16</f>
        <v/>
      </c>
      <c r="E17" s="22">
        <f>E14+E15+E16</f>
        <v/>
      </c>
      <c r="F17" s="22">
        <f>F14+F15+F16</f>
        <v/>
      </c>
      <c r="G17" s="22">
        <f>G14+G15+G16</f>
        <v/>
      </c>
    </row>
    <row r="18">
      <c r="A18" s="6" t="inlineStr">
        <is>
          <t xml:space="preserve">  Interest expense</t>
        </is>
      </c>
      <c r="C18" s="21">
        <f>C14*Assumptions!$B$152</f>
        <v/>
      </c>
      <c r="D18" s="21">
        <f>D14*Assumptions!$B$152</f>
        <v/>
      </c>
      <c r="E18" s="21">
        <f>E14*Assumptions!$B$152</f>
        <v/>
      </c>
      <c r="F18" s="21">
        <f>F14*Assumptions!$B$152</f>
        <v/>
      </c>
      <c r="G18" s="21">
        <f>G14*Assumptions!$B$152</f>
        <v/>
      </c>
    </row>
    <row r="20">
      <c r="A20" s="3" t="inlineStr">
        <is>
          <t>TRANCHE 3 — Term loan (amortising)</t>
        </is>
      </c>
    </row>
    <row r="21">
      <c r="A21" s="6" t="inlineStr">
        <is>
          <t xml:space="preserve">  Opening balance</t>
        </is>
      </c>
      <c r="B21" s="16" t="inlineStr">
        <is>
          <t>""</t>
        </is>
      </c>
      <c r="C21" s="21">
        <f>Assumptions!$B$155</f>
        <v/>
      </c>
      <c r="D21" s="21">
        <f>C24</f>
        <v/>
      </c>
      <c r="E21" s="21">
        <f>D24</f>
        <v/>
      </c>
      <c r="F21" s="21">
        <f>E24</f>
        <v/>
      </c>
      <c r="G21" s="21">
        <f>F24</f>
        <v/>
      </c>
    </row>
    <row r="22">
      <c r="A22" s="6" t="inlineStr">
        <is>
          <t xml:space="preserve">  + Issuance</t>
        </is>
      </c>
      <c r="C22" s="21">
        <f>0</f>
        <v/>
      </c>
      <c r="D22" s="21">
        <f>0</f>
        <v/>
      </c>
      <c r="E22" s="21">
        <f>0</f>
        <v/>
      </c>
      <c r="F22" s="21">
        <f>0</f>
        <v/>
      </c>
      <c r="G22" s="21">
        <f>0</f>
        <v/>
      </c>
    </row>
    <row r="23">
      <c r="A23" s="6" t="inlineStr">
        <is>
          <t xml:space="preserve">  − Repayment</t>
        </is>
      </c>
      <c r="C23" s="21">
        <f>-MIN(Assumptions!$B$157,C21)</f>
        <v/>
      </c>
      <c r="D23" s="21">
        <f>-MIN(Assumptions!$B$157,D21)</f>
        <v/>
      </c>
      <c r="E23" s="21">
        <f>-MIN(Assumptions!$B$157,E21)</f>
        <v/>
      </c>
      <c r="F23" s="21">
        <f>-MIN(Assumptions!$B$157,F21)</f>
        <v/>
      </c>
      <c r="G23" s="21">
        <f>-MIN(Assumptions!$B$157,G21)</f>
        <v/>
      </c>
    </row>
    <row r="24">
      <c r="A24" s="18" t="inlineStr">
        <is>
          <t xml:space="preserve">  Closing balance</t>
        </is>
      </c>
      <c r="B24" s="22">
        <f>Assumptions!$B$155</f>
        <v/>
      </c>
      <c r="C24" s="22">
        <f>C21+C22+C23</f>
        <v/>
      </c>
      <c r="D24" s="22">
        <f>D21+D22+D23</f>
        <v/>
      </c>
      <c r="E24" s="22">
        <f>E21+E22+E23</f>
        <v/>
      </c>
      <c r="F24" s="22">
        <f>F21+F22+F23</f>
        <v/>
      </c>
      <c r="G24" s="22">
        <f>G21+G22+G23</f>
        <v/>
      </c>
    </row>
    <row r="25">
      <c r="A25" s="6" t="inlineStr">
        <is>
          <t xml:space="preserve">  Interest expense</t>
        </is>
      </c>
      <c r="C25" s="21">
        <f>C21*Assumptions!$B$156</f>
        <v/>
      </c>
      <c r="D25" s="21">
        <f>D21*Assumptions!$B$156</f>
        <v/>
      </c>
      <c r="E25" s="21">
        <f>E21*Assumptions!$B$156</f>
        <v/>
      </c>
      <c r="F25" s="21">
        <f>F21*Assumptions!$B$156</f>
        <v/>
      </c>
      <c r="G25" s="21">
        <f>G21*Assumptions!$B$156</f>
        <v/>
      </c>
    </row>
    <row r="27">
      <c r="A27" s="3" t="inlineStr">
        <is>
          <t>TRANCHE 4 — RCF (drawn portion)</t>
        </is>
      </c>
    </row>
    <row r="28">
      <c r="A28" s="6" t="inlineStr">
        <is>
          <t xml:space="preserve">  Opening balance</t>
        </is>
      </c>
      <c r="B28" s="16" t="inlineStr">
        <is>
          <t>""</t>
        </is>
      </c>
      <c r="C28" s="21">
        <f>Assumptions!$B$160</f>
        <v/>
      </c>
      <c r="D28" s="21">
        <f>C31</f>
        <v/>
      </c>
      <c r="E28" s="21">
        <f>D31</f>
        <v/>
      </c>
      <c r="F28" s="21">
        <f>E31</f>
        <v/>
      </c>
      <c r="G28" s="21">
        <f>F31</f>
        <v/>
      </c>
    </row>
    <row r="29">
      <c r="A29" s="6" t="inlineStr">
        <is>
          <t xml:space="preserve">  + Issuance</t>
        </is>
      </c>
      <c r="C29" s="21">
        <f>0</f>
        <v/>
      </c>
      <c r="D29" s="21">
        <f>0</f>
        <v/>
      </c>
      <c r="E29" s="21">
        <f>0</f>
        <v/>
      </c>
      <c r="F29" s="21">
        <f>0</f>
        <v/>
      </c>
      <c r="G29" s="21">
        <f>0</f>
        <v/>
      </c>
    </row>
    <row r="30">
      <c r="A30" s="6" t="inlineStr">
        <is>
          <t xml:space="preserve">  − Repayment</t>
        </is>
      </c>
      <c r="C30" s="21">
        <f>0</f>
        <v/>
      </c>
      <c r="D30" s="21">
        <f>0</f>
        <v/>
      </c>
      <c r="E30" s="21">
        <f>0</f>
        <v/>
      </c>
      <c r="F30" s="21">
        <f>0</f>
        <v/>
      </c>
      <c r="G30" s="21">
        <f>0</f>
        <v/>
      </c>
    </row>
    <row r="31">
      <c r="A31" s="18" t="inlineStr">
        <is>
          <t xml:space="preserve">  Closing balance</t>
        </is>
      </c>
      <c r="B31" s="22">
        <f>Assumptions!$B$160</f>
        <v/>
      </c>
      <c r="C31" s="22">
        <f>C28+C29+C30</f>
        <v/>
      </c>
      <c r="D31" s="22">
        <f>D28+D29+D30</f>
        <v/>
      </c>
      <c r="E31" s="22">
        <f>E28+E29+E30</f>
        <v/>
      </c>
      <c r="F31" s="22">
        <f>F28+F29+F30</f>
        <v/>
      </c>
      <c r="G31" s="22">
        <f>G28+G29+G30</f>
        <v/>
      </c>
    </row>
    <row r="32">
      <c r="A32" s="6" t="inlineStr">
        <is>
          <t xml:space="preserve">  Interest expense</t>
        </is>
      </c>
      <c r="C32" s="21">
        <f>C28*Assumptions!$B$161</f>
        <v/>
      </c>
      <c r="D32" s="21">
        <f>D28*Assumptions!$B$161</f>
        <v/>
      </c>
      <c r="E32" s="21">
        <f>E28*Assumptions!$B$161</f>
        <v/>
      </c>
      <c r="F32" s="21">
        <f>F28*Assumptions!$B$161</f>
        <v/>
      </c>
      <c r="G32" s="21">
        <f>G28*Assumptions!$B$161</f>
        <v/>
      </c>
    </row>
    <row r="34">
      <c r="A34" s="3" t="inlineStr">
        <is>
          <t>TOTAL FINANCIAL DEBT (excl. leases)</t>
        </is>
      </c>
    </row>
    <row r="35">
      <c r="A35" s="5" t="inlineStr">
        <is>
          <t>Short-term debt (Term Loan + RCF)</t>
        </is>
      </c>
      <c r="B35" s="24">
        <f>Assumptions!$B$48</f>
        <v/>
      </c>
      <c r="C35" s="24">
        <f>C24+C31</f>
        <v/>
      </c>
      <c r="D35" s="24">
        <f>D24+D31</f>
        <v/>
      </c>
      <c r="E35" s="24">
        <f>E24+E31</f>
        <v/>
      </c>
      <c r="F35" s="24">
        <f>F24+F31</f>
        <v/>
      </c>
      <c r="G35" s="24">
        <f>G24+G31</f>
        <v/>
      </c>
    </row>
    <row r="36">
      <c r="A36" s="5" t="inlineStr">
        <is>
          <t>Long-term debt (Sukuk 1 + Sukuk 2)</t>
        </is>
      </c>
      <c r="B36" s="24">
        <f>Assumptions!$B$49</f>
        <v/>
      </c>
      <c r="C36" s="24">
        <f>C10+C17</f>
        <v/>
      </c>
      <c r="D36" s="24">
        <f>D10+D17</f>
        <v/>
      </c>
      <c r="E36" s="24">
        <f>E10+E17</f>
        <v/>
      </c>
      <c r="F36" s="24">
        <f>F10+F17</f>
        <v/>
      </c>
      <c r="G36" s="24">
        <f>G10+G17</f>
        <v/>
      </c>
    </row>
    <row r="37">
      <c r="A37" s="6" t="inlineStr">
        <is>
          <t>Lease liabilities (from Leases sheet)</t>
        </is>
      </c>
      <c r="B37" s="21">
        <f>Leases!$B$17</f>
        <v/>
      </c>
      <c r="C37" s="21">
        <f>Leases!$C$17</f>
        <v/>
      </c>
      <c r="D37" s="21">
        <f>Leases!$D$17</f>
        <v/>
      </c>
      <c r="E37" s="21">
        <f>Leases!$E$17</f>
        <v/>
      </c>
      <c r="F37" s="21">
        <f>Leases!$F$17</f>
        <v/>
      </c>
      <c r="G37" s="21">
        <f>Leases!$G$17</f>
        <v/>
      </c>
    </row>
    <row r="39">
      <c r="A39" s="18" t="inlineStr">
        <is>
          <t>Gross debt (total, incl. leases)</t>
        </is>
      </c>
      <c r="B39" s="22">
        <f>B35+B36+B37</f>
        <v/>
      </c>
      <c r="C39" s="22">
        <f>C35+C36+C37</f>
        <v/>
      </c>
      <c r="D39" s="22">
        <f>D35+D36+D37</f>
        <v/>
      </c>
      <c r="E39" s="22">
        <f>E35+E36+E37</f>
        <v/>
      </c>
      <c r="F39" s="22">
        <f>F35+F36+F37</f>
        <v/>
      </c>
      <c r="G39" s="22">
        <f>G35+G36+G37</f>
        <v/>
      </c>
    </row>
    <row r="41">
      <c r="A41" s="6" t="inlineStr">
        <is>
          <t>Less: cash (from BS)</t>
        </is>
      </c>
      <c r="B41" s="21">
        <f>-Assumptions!$B$35</f>
        <v/>
      </c>
      <c r="C41" s="21">
        <f>-BS!C7</f>
        <v/>
      </c>
      <c r="D41" s="21">
        <f>-BS!D7</f>
        <v/>
      </c>
      <c r="E41" s="21">
        <f>-BS!E7</f>
        <v/>
      </c>
      <c r="F41" s="21">
        <f>-BS!F7</f>
        <v/>
      </c>
      <c r="G41" s="21">
        <f>-BS!G7</f>
        <v/>
      </c>
    </row>
    <row r="43">
      <c r="A43" s="18" t="inlineStr">
        <is>
          <t>Net debt</t>
        </is>
      </c>
      <c r="B43" s="22">
        <f>B39+B41</f>
        <v/>
      </c>
      <c r="C43" s="22">
        <f>C39+C41</f>
        <v/>
      </c>
      <c r="D43" s="22">
        <f>D39+D41</f>
        <v/>
      </c>
      <c r="E43" s="22">
        <f>E39+E41</f>
        <v/>
      </c>
      <c r="F43" s="22">
        <f>F39+F41</f>
        <v/>
      </c>
      <c r="G43" s="22">
        <f>G39+G41</f>
        <v/>
      </c>
    </row>
    <row r="45">
      <c r="A45" s="18" t="inlineStr">
        <is>
          <t>Total financial interest (sum of tranches)</t>
        </is>
      </c>
      <c r="C45" s="22">
        <f>C11+C18+C25+C32</f>
        <v/>
      </c>
      <c r="D45" s="22">
        <f>D11+D18+D25+D32</f>
        <v/>
      </c>
      <c r="E45" s="22">
        <f>E11+E18+E25+E32</f>
        <v/>
      </c>
      <c r="F45" s="22">
        <f>F11+F18+F25+F32</f>
        <v/>
      </c>
      <c r="G45" s="22">
        <f>G11+G18+G25+G32</f>
        <v/>
      </c>
    </row>
    <row r="46">
      <c r="A46" s="5" t="inlineStr">
        <is>
          <t>Net debt issuance (to CFS)</t>
        </is>
      </c>
      <c r="B46" s="16" t="inlineStr">
        <is>
          <t>""</t>
        </is>
      </c>
      <c r="C46" s="24">
        <f>C8+C9+C15+C16+C22+C23+C29+C30</f>
        <v/>
      </c>
      <c r="D46" s="24">
        <f>D8+D9+D15+D16+D22+D23+D29+D30</f>
        <v/>
      </c>
      <c r="E46" s="24">
        <f>E8+E9+E15+E16+E22+E23+E29+E30</f>
        <v/>
      </c>
      <c r="F46" s="24">
        <f>F8+F9+F15+F16+F22+F23+F29+F30</f>
        <v/>
      </c>
      <c r="G46" s="24">
        <f>G8+G9+G15+G16+G22+G23+G29+G30</f>
        <v/>
      </c>
    </row>
    <row r="48">
      <c r="A48" s="3" t="inlineStr">
        <is>
          <t>MATURITY PROFILE — principal payments by year</t>
        </is>
      </c>
    </row>
    <row r="49">
      <c r="A49" s="18" t="inlineStr">
        <is>
          <t>Principal due</t>
        </is>
      </c>
      <c r="C49" s="22">
        <f>-C9+-C16+-C23+-C30</f>
        <v/>
      </c>
      <c r="D49" s="22">
        <f>-D9+-D16+-D23+-D30</f>
        <v/>
      </c>
      <c r="E49" s="22">
        <f>-E9+-E16+-E23+-E30</f>
        <v/>
      </c>
      <c r="F49" s="22">
        <f>-F9+-F16+-F23+-F30</f>
        <v/>
      </c>
      <c r="G49" s="22">
        <f>-G9+-G16+-G23+-G30</f>
        <v/>
      </c>
    </row>
    <row r="50">
      <c r="A50" s="6" t="inlineStr">
        <is>
          <t xml:space="preserve">    Sukuk 1</t>
        </is>
      </c>
      <c r="C50" s="21">
        <f>-C9</f>
        <v/>
      </c>
      <c r="D50" s="21">
        <f>-D9</f>
        <v/>
      </c>
      <c r="E50" s="21">
        <f>-E9</f>
        <v/>
      </c>
      <c r="F50" s="21">
        <f>-F9</f>
        <v/>
      </c>
      <c r="G50" s="21">
        <f>-G9</f>
        <v/>
      </c>
    </row>
    <row r="51">
      <c r="A51" s="6" t="inlineStr">
        <is>
          <t xml:space="preserve">    Sukuk 2</t>
        </is>
      </c>
      <c r="C51" s="21">
        <f>-C16</f>
        <v/>
      </c>
      <c r="D51" s="21">
        <f>-D16</f>
        <v/>
      </c>
      <c r="E51" s="21">
        <f>-E16</f>
        <v/>
      </c>
      <c r="F51" s="21">
        <f>-F16</f>
        <v/>
      </c>
      <c r="G51" s="21">
        <f>-G16</f>
        <v/>
      </c>
    </row>
    <row r="52">
      <c r="A52" s="6" t="inlineStr">
        <is>
          <t xml:space="preserve">    Term loan</t>
        </is>
      </c>
      <c r="C52" s="21">
        <f>-C23</f>
        <v/>
      </c>
      <c r="D52" s="21">
        <f>-D23</f>
        <v/>
      </c>
      <c r="E52" s="21">
        <f>-E23</f>
        <v/>
      </c>
      <c r="F52" s="21">
        <f>-F23</f>
        <v/>
      </c>
      <c r="G52" s="21">
        <f>-G23</f>
        <v/>
      </c>
    </row>
    <row r="53">
      <c r="A53" s="6" t="inlineStr">
        <is>
          <t xml:space="preserve">    RCF</t>
        </is>
      </c>
      <c r="C53" s="21">
        <f>-C30</f>
        <v/>
      </c>
      <c r="D53" s="21">
        <f>-D30</f>
        <v/>
      </c>
      <c r="E53" s="21">
        <f>-E30</f>
        <v/>
      </c>
      <c r="F53" s="21">
        <f>-F30</f>
        <v/>
      </c>
      <c r="G53" s="21">
        <f>-G30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PP&amp;E ROLLFORWARD — by asset class</t>
        </is>
      </c>
    </row>
    <row r="2">
      <c r="A2" s="2" t="inlineStr">
        <is>
          <t>Five classes: network/infrastructure, towers/sites, buildings/land, IT/equipment, vehicles/other. Each has its own useful life and capex share. Class capex = capex_share × total capex (where total = capex_pct × revenue).</t>
        </is>
      </c>
    </row>
    <row r="4">
      <c r="A4" s="14" t="n"/>
      <c r="B4" s="15" t="inlineStr">
        <is>
          <t>Y0 (base)</t>
        </is>
      </c>
      <c r="C4" s="15" t="inlineStr">
        <is>
          <t>Y1</t>
        </is>
      </c>
      <c r="D4" s="15" t="inlineStr">
        <is>
          <t>Y2</t>
        </is>
      </c>
      <c r="E4" s="15" t="inlineStr">
        <is>
          <t>Y3</t>
        </is>
      </c>
      <c r="F4" s="15" t="inlineStr">
        <is>
          <t>Y4</t>
        </is>
      </c>
      <c r="G4" s="15" t="inlineStr">
        <is>
          <t>Y5</t>
        </is>
      </c>
    </row>
    <row r="6">
      <c r="A6" s="3" t="inlineStr">
        <is>
          <t>Class 1 — Network &amp; infrastructure</t>
        </is>
      </c>
    </row>
    <row r="7">
      <c r="A7" s="6" t="inlineStr">
        <is>
          <t xml:space="preserve">  Opening NBV</t>
        </is>
      </c>
      <c r="B7" s="16" t="inlineStr">
        <is>
          <t>""</t>
        </is>
      </c>
      <c r="C7" s="21">
        <f>Assumptions!$B$168</f>
        <v/>
      </c>
      <c r="D7" s="21">
        <f>C10</f>
        <v/>
      </c>
      <c r="E7" s="21">
        <f>D10</f>
        <v/>
      </c>
      <c r="F7" s="21">
        <f>E10</f>
        <v/>
      </c>
      <c r="G7" s="21">
        <f>F10</f>
        <v/>
      </c>
    </row>
    <row r="8">
      <c r="A8" s="6" t="inlineStr">
        <is>
          <t xml:space="preserve">  + Capex (share × total)</t>
        </is>
      </c>
      <c r="C8" s="21">
        <f>Assumptions!$B$170*Assumptions!$B$9*IS!$C$14</f>
        <v/>
      </c>
      <c r="D8" s="21">
        <f>Assumptions!$B$170*Assumptions!$B$9*IS!$D$14</f>
        <v/>
      </c>
      <c r="E8" s="21">
        <f>Assumptions!$B$170*Assumptions!$B$9*IS!$E$14</f>
        <v/>
      </c>
      <c r="F8" s="21">
        <f>Assumptions!$B$170*Assumptions!$B$9*IS!$F$14</f>
        <v/>
      </c>
      <c r="G8" s="21">
        <f>Assumptions!$B$170*Assumptions!$B$9*IS!$G$14</f>
        <v/>
      </c>
    </row>
    <row r="9">
      <c r="A9" s="6" t="inlineStr">
        <is>
          <t xml:space="preserve">  − Depreciation (NBV / life)</t>
        </is>
      </c>
      <c r="C9" s="21">
        <f>-C7/Assumptions!$B$169</f>
        <v/>
      </c>
      <c r="D9" s="21">
        <f>-D7/Assumptions!$B$169</f>
        <v/>
      </c>
      <c r="E9" s="21">
        <f>-E7/Assumptions!$B$169</f>
        <v/>
      </c>
      <c r="F9" s="21">
        <f>-F7/Assumptions!$B$169</f>
        <v/>
      </c>
      <c r="G9" s="21">
        <f>-G7/Assumptions!$B$169</f>
        <v/>
      </c>
    </row>
    <row r="10">
      <c r="A10" s="18" t="inlineStr">
        <is>
          <t xml:space="preserve">  Closing NBV</t>
        </is>
      </c>
      <c r="B10" s="22">
        <f>Assumptions!$B$168</f>
        <v/>
      </c>
      <c r="C10" s="22">
        <f>C7+C8+C9</f>
        <v/>
      </c>
      <c r="D10" s="22">
        <f>D7+D8+D9</f>
        <v/>
      </c>
      <c r="E10" s="22">
        <f>E7+E8+E9</f>
        <v/>
      </c>
      <c r="F10" s="22">
        <f>F7+F8+F9</f>
        <v/>
      </c>
      <c r="G10" s="22">
        <f>G7+G8+G9</f>
        <v/>
      </c>
    </row>
    <row r="12">
      <c r="A12" s="3" t="inlineStr">
        <is>
          <t>Class 2 — Towers &amp; sites</t>
        </is>
      </c>
    </row>
    <row r="13">
      <c r="A13" s="6" t="inlineStr">
        <is>
          <t xml:space="preserve">  Opening NBV</t>
        </is>
      </c>
      <c r="B13" s="16" t="inlineStr">
        <is>
          <t>""</t>
        </is>
      </c>
      <c r="C13" s="21">
        <f>Assumptions!$B$173</f>
        <v/>
      </c>
      <c r="D13" s="21">
        <f>C16</f>
        <v/>
      </c>
      <c r="E13" s="21">
        <f>D16</f>
        <v/>
      </c>
      <c r="F13" s="21">
        <f>E16</f>
        <v/>
      </c>
      <c r="G13" s="21">
        <f>F16</f>
        <v/>
      </c>
    </row>
    <row r="14">
      <c r="A14" s="6" t="inlineStr">
        <is>
          <t xml:space="preserve">  + Capex (share × total)</t>
        </is>
      </c>
      <c r="C14" s="21">
        <f>Assumptions!$B$175*Assumptions!$B$9*IS!$C$14</f>
        <v/>
      </c>
      <c r="D14" s="21">
        <f>Assumptions!$B$175*Assumptions!$B$9*IS!$D$14</f>
        <v/>
      </c>
      <c r="E14" s="21">
        <f>Assumptions!$B$175*Assumptions!$B$9*IS!$E$14</f>
        <v/>
      </c>
      <c r="F14" s="21">
        <f>Assumptions!$B$175*Assumptions!$B$9*IS!$F$14</f>
        <v/>
      </c>
      <c r="G14" s="21">
        <f>Assumptions!$B$175*Assumptions!$B$9*IS!$G$14</f>
        <v/>
      </c>
    </row>
    <row r="15">
      <c r="A15" s="6" t="inlineStr">
        <is>
          <t xml:space="preserve">  − Depreciation (NBV / life)</t>
        </is>
      </c>
      <c r="C15" s="21">
        <f>-C13/Assumptions!$B$174</f>
        <v/>
      </c>
      <c r="D15" s="21">
        <f>-D13/Assumptions!$B$174</f>
        <v/>
      </c>
      <c r="E15" s="21">
        <f>-E13/Assumptions!$B$174</f>
        <v/>
      </c>
      <c r="F15" s="21">
        <f>-F13/Assumptions!$B$174</f>
        <v/>
      </c>
      <c r="G15" s="21">
        <f>-G13/Assumptions!$B$174</f>
        <v/>
      </c>
    </row>
    <row r="16">
      <c r="A16" s="18" t="inlineStr">
        <is>
          <t xml:space="preserve">  Closing NBV</t>
        </is>
      </c>
      <c r="B16" s="22">
        <f>Assumptions!$B$173</f>
        <v/>
      </c>
      <c r="C16" s="22">
        <f>C13+C14+C15</f>
        <v/>
      </c>
      <c r="D16" s="22">
        <f>D13+D14+D15</f>
        <v/>
      </c>
      <c r="E16" s="22">
        <f>E13+E14+E15</f>
        <v/>
      </c>
      <c r="F16" s="22">
        <f>F13+F14+F15</f>
        <v/>
      </c>
      <c r="G16" s="22">
        <f>G13+G14+G15</f>
        <v/>
      </c>
    </row>
    <row r="18">
      <c r="A18" s="3" t="inlineStr">
        <is>
          <t>Class 3 — Buildings &amp; land</t>
        </is>
      </c>
    </row>
    <row r="19">
      <c r="A19" s="6" t="inlineStr">
        <is>
          <t xml:space="preserve">  Opening NBV</t>
        </is>
      </c>
      <c r="B19" s="16" t="inlineStr">
        <is>
          <t>""</t>
        </is>
      </c>
      <c r="C19" s="21">
        <f>Assumptions!$B$178</f>
        <v/>
      </c>
      <c r="D19" s="21">
        <f>C22</f>
        <v/>
      </c>
      <c r="E19" s="21">
        <f>D22</f>
        <v/>
      </c>
      <c r="F19" s="21">
        <f>E22</f>
        <v/>
      </c>
      <c r="G19" s="21">
        <f>F22</f>
        <v/>
      </c>
    </row>
    <row r="20">
      <c r="A20" s="6" t="inlineStr">
        <is>
          <t xml:space="preserve">  + Capex (share × total)</t>
        </is>
      </c>
      <c r="C20" s="21">
        <f>Assumptions!$B$180*Assumptions!$B$9*IS!$C$14</f>
        <v/>
      </c>
      <c r="D20" s="21">
        <f>Assumptions!$B$180*Assumptions!$B$9*IS!$D$14</f>
        <v/>
      </c>
      <c r="E20" s="21">
        <f>Assumptions!$B$180*Assumptions!$B$9*IS!$E$14</f>
        <v/>
      </c>
      <c r="F20" s="21">
        <f>Assumptions!$B$180*Assumptions!$B$9*IS!$F$14</f>
        <v/>
      </c>
      <c r="G20" s="21">
        <f>Assumptions!$B$180*Assumptions!$B$9*IS!$G$14</f>
        <v/>
      </c>
    </row>
    <row r="21">
      <c r="A21" s="6" t="inlineStr">
        <is>
          <t xml:space="preserve">  − Depreciation (NBV / life)</t>
        </is>
      </c>
      <c r="C21" s="21">
        <f>-C19/Assumptions!$B$179</f>
        <v/>
      </c>
      <c r="D21" s="21">
        <f>-D19/Assumptions!$B$179</f>
        <v/>
      </c>
      <c r="E21" s="21">
        <f>-E19/Assumptions!$B$179</f>
        <v/>
      </c>
      <c r="F21" s="21">
        <f>-F19/Assumptions!$B$179</f>
        <v/>
      </c>
      <c r="G21" s="21">
        <f>-G19/Assumptions!$B$179</f>
        <v/>
      </c>
    </row>
    <row r="22">
      <c r="A22" s="18" t="inlineStr">
        <is>
          <t xml:space="preserve">  Closing NBV</t>
        </is>
      </c>
      <c r="B22" s="22">
        <f>Assumptions!$B$178</f>
        <v/>
      </c>
      <c r="C22" s="22">
        <f>C19+C20+C21</f>
        <v/>
      </c>
      <c r="D22" s="22">
        <f>D19+D20+D21</f>
        <v/>
      </c>
      <c r="E22" s="22">
        <f>E19+E20+E21</f>
        <v/>
      </c>
      <c r="F22" s="22">
        <f>F19+F20+F21</f>
        <v/>
      </c>
      <c r="G22" s="22">
        <f>G19+G20+G21</f>
        <v/>
      </c>
    </row>
    <row r="24">
      <c r="A24" s="3" t="inlineStr">
        <is>
          <t>Class 4 — IT &amp; equipment</t>
        </is>
      </c>
    </row>
    <row r="25">
      <c r="A25" s="6" t="inlineStr">
        <is>
          <t xml:space="preserve">  Opening NBV</t>
        </is>
      </c>
      <c r="B25" s="16" t="inlineStr">
        <is>
          <t>""</t>
        </is>
      </c>
      <c r="C25" s="21">
        <f>Assumptions!$B$183</f>
        <v/>
      </c>
      <c r="D25" s="21">
        <f>C28</f>
        <v/>
      </c>
      <c r="E25" s="21">
        <f>D28</f>
        <v/>
      </c>
      <c r="F25" s="21">
        <f>E28</f>
        <v/>
      </c>
      <c r="G25" s="21">
        <f>F28</f>
        <v/>
      </c>
    </row>
    <row r="26">
      <c r="A26" s="6" t="inlineStr">
        <is>
          <t xml:space="preserve">  + Capex (share × total)</t>
        </is>
      </c>
      <c r="C26" s="21">
        <f>Assumptions!$B$185*Assumptions!$B$9*IS!$C$14</f>
        <v/>
      </c>
      <c r="D26" s="21">
        <f>Assumptions!$B$185*Assumptions!$B$9*IS!$D$14</f>
        <v/>
      </c>
      <c r="E26" s="21">
        <f>Assumptions!$B$185*Assumptions!$B$9*IS!$E$14</f>
        <v/>
      </c>
      <c r="F26" s="21">
        <f>Assumptions!$B$185*Assumptions!$B$9*IS!$F$14</f>
        <v/>
      </c>
      <c r="G26" s="21">
        <f>Assumptions!$B$185*Assumptions!$B$9*IS!$G$14</f>
        <v/>
      </c>
    </row>
    <row r="27">
      <c r="A27" s="6" t="inlineStr">
        <is>
          <t xml:space="preserve">  − Depreciation (NBV / life)</t>
        </is>
      </c>
      <c r="C27" s="21">
        <f>-C25/Assumptions!$B$184</f>
        <v/>
      </c>
      <c r="D27" s="21">
        <f>-D25/Assumptions!$B$184</f>
        <v/>
      </c>
      <c r="E27" s="21">
        <f>-E25/Assumptions!$B$184</f>
        <v/>
      </c>
      <c r="F27" s="21">
        <f>-F25/Assumptions!$B$184</f>
        <v/>
      </c>
      <c r="G27" s="21">
        <f>-G25/Assumptions!$B$184</f>
        <v/>
      </c>
    </row>
    <row r="28">
      <c r="A28" s="18" t="inlineStr">
        <is>
          <t xml:space="preserve">  Closing NBV</t>
        </is>
      </c>
      <c r="B28" s="22">
        <f>Assumptions!$B$183</f>
        <v/>
      </c>
      <c r="C28" s="22">
        <f>C25+C26+C27</f>
        <v/>
      </c>
      <c r="D28" s="22">
        <f>D25+D26+D27</f>
        <v/>
      </c>
      <c r="E28" s="22">
        <f>E25+E26+E27</f>
        <v/>
      </c>
      <c r="F28" s="22">
        <f>F25+F26+F27</f>
        <v/>
      </c>
      <c r="G28" s="22">
        <f>G25+G26+G27</f>
        <v/>
      </c>
    </row>
    <row r="30">
      <c r="A30" s="3" t="inlineStr">
        <is>
          <t>Class 5 — Vehicles &amp; other</t>
        </is>
      </c>
    </row>
    <row r="31">
      <c r="A31" s="6" t="inlineStr">
        <is>
          <t xml:space="preserve">  Opening NBV</t>
        </is>
      </c>
      <c r="B31" s="16" t="inlineStr">
        <is>
          <t>""</t>
        </is>
      </c>
      <c r="C31" s="21">
        <f>Assumptions!$B$188</f>
        <v/>
      </c>
      <c r="D31" s="21">
        <f>C34</f>
        <v/>
      </c>
      <c r="E31" s="21">
        <f>D34</f>
        <v/>
      </c>
      <c r="F31" s="21">
        <f>E34</f>
        <v/>
      </c>
      <c r="G31" s="21">
        <f>F34</f>
        <v/>
      </c>
    </row>
    <row r="32">
      <c r="A32" s="6" t="inlineStr">
        <is>
          <t xml:space="preserve">  + Capex (share × total)</t>
        </is>
      </c>
      <c r="C32" s="21">
        <f>Assumptions!$B$190*Assumptions!$B$9*IS!$C$14</f>
        <v/>
      </c>
      <c r="D32" s="21">
        <f>Assumptions!$B$190*Assumptions!$B$9*IS!$D$14</f>
        <v/>
      </c>
      <c r="E32" s="21">
        <f>Assumptions!$B$190*Assumptions!$B$9*IS!$E$14</f>
        <v/>
      </c>
      <c r="F32" s="21">
        <f>Assumptions!$B$190*Assumptions!$B$9*IS!$F$14</f>
        <v/>
      </c>
      <c r="G32" s="21">
        <f>Assumptions!$B$190*Assumptions!$B$9*IS!$G$14</f>
        <v/>
      </c>
    </row>
    <row r="33">
      <c r="A33" s="6" t="inlineStr">
        <is>
          <t xml:space="preserve">  − Depreciation (NBV / life)</t>
        </is>
      </c>
      <c r="C33" s="21">
        <f>-C31/Assumptions!$B$189</f>
        <v/>
      </c>
      <c r="D33" s="21">
        <f>-D31/Assumptions!$B$189</f>
        <v/>
      </c>
      <c r="E33" s="21">
        <f>-E31/Assumptions!$B$189</f>
        <v/>
      </c>
      <c r="F33" s="21">
        <f>-F31/Assumptions!$B$189</f>
        <v/>
      </c>
      <c r="G33" s="21">
        <f>-G31/Assumptions!$B$189</f>
        <v/>
      </c>
    </row>
    <row r="34">
      <c r="A34" s="18" t="inlineStr">
        <is>
          <t xml:space="preserve">  Closing NBV</t>
        </is>
      </c>
      <c r="B34" s="22">
        <f>Assumptions!$B$188</f>
        <v/>
      </c>
      <c r="C34" s="22">
        <f>C31+C32+C33</f>
        <v/>
      </c>
      <c r="D34" s="22">
        <f>D31+D32+D33</f>
        <v/>
      </c>
      <c r="E34" s="22">
        <f>E31+E32+E33</f>
        <v/>
      </c>
      <c r="F34" s="22">
        <f>F31+F32+F33</f>
        <v/>
      </c>
      <c r="G34" s="22">
        <f>G31+G32+G33</f>
        <v/>
      </c>
    </row>
    <row r="36">
      <c r="A36" s="3" t="inlineStr">
        <is>
          <t>TOTAL PP&amp;E</t>
        </is>
      </c>
    </row>
    <row r="37">
      <c r="A37" s="5" t="inlineStr">
        <is>
          <t>Total opening NBV</t>
        </is>
      </c>
      <c r="C37" s="24">
        <f>C7+C13+C19+C25+C31</f>
        <v/>
      </c>
      <c r="D37" s="24">
        <f>D7+D13+D19+D25+D31</f>
        <v/>
      </c>
      <c r="E37" s="24">
        <f>E7+E13+E19+E25+E31</f>
        <v/>
      </c>
      <c r="F37" s="24">
        <f>F7+F13+F19+F25+F31</f>
        <v/>
      </c>
      <c r="G37" s="24">
        <f>G7+G13+G19+G25+G31</f>
        <v/>
      </c>
    </row>
    <row r="38">
      <c r="A38" s="5" t="inlineStr">
        <is>
          <t>+ Total capex</t>
        </is>
      </c>
      <c r="C38" s="24">
        <f>C8+C14+C20+C26+C32</f>
        <v/>
      </c>
      <c r="D38" s="24">
        <f>D8+D14+D20+D26+D32</f>
        <v/>
      </c>
      <c r="E38" s="24">
        <f>E8+E14+E20+E26+E32</f>
        <v/>
      </c>
      <c r="F38" s="24">
        <f>F8+F14+F20+F26+F32</f>
        <v/>
      </c>
      <c r="G38" s="24">
        <f>G8+G14+G20+G26+G32</f>
        <v/>
      </c>
    </row>
    <row r="39">
      <c r="A39" s="5" t="inlineStr">
        <is>
          <t>− Total depreciation</t>
        </is>
      </c>
      <c r="C39" s="24">
        <f>C9+C15+C21+C27+C33</f>
        <v/>
      </c>
      <c r="D39" s="24">
        <f>D9+D15+D21+D27+D33</f>
        <v/>
      </c>
      <c r="E39" s="24">
        <f>E9+E15+E21+E27+E33</f>
        <v/>
      </c>
      <c r="F39" s="24">
        <f>F9+F15+F21+F27+F33</f>
        <v/>
      </c>
      <c r="G39" s="24">
        <f>G9+G15+G21+G27+G33</f>
        <v/>
      </c>
    </row>
    <row r="40">
      <c r="A40" s="18" t="inlineStr">
        <is>
          <t>Total closing PP&amp;E</t>
        </is>
      </c>
      <c r="B40" s="22">
        <f>Assumptions!$B$39</f>
        <v/>
      </c>
      <c r="C40" s="22">
        <f>C10+C16+C22+C28+C34</f>
        <v/>
      </c>
      <c r="D40" s="22">
        <f>D10+D16+D22+D28+D34</f>
        <v/>
      </c>
      <c r="E40" s="22">
        <f>E10+E16+E22+E28+E34</f>
        <v/>
      </c>
      <c r="F40" s="22">
        <f>F10+F16+F22+F28+F34</f>
        <v/>
      </c>
      <c r="G40" s="22">
        <f>G10+G16+G22+G28+G34</f>
        <v/>
      </c>
    </row>
    <row r="42">
      <c r="A42" s="3" t="inlineStr">
        <is>
          <t>CAPEX SPLIT — maintenance vs growth</t>
        </is>
      </c>
    </row>
    <row r="43">
      <c r="A43" s="6" t="inlineStr">
        <is>
          <t>Maintenance capex</t>
        </is>
      </c>
      <c r="C43" s="21">
        <f>C38*Assumptions!$B$140</f>
        <v/>
      </c>
      <c r="D43" s="21">
        <f>D38*Assumptions!$B$140</f>
        <v/>
      </c>
      <c r="E43" s="21">
        <f>E38*Assumptions!$B$140</f>
        <v/>
      </c>
      <c r="F43" s="21">
        <f>F38*Assumptions!$B$140</f>
        <v/>
      </c>
      <c r="G43" s="21">
        <f>G38*Assumptions!$B$140</f>
        <v/>
      </c>
    </row>
    <row r="44">
      <c r="A44" s="6" t="inlineStr">
        <is>
          <t>Growth capex</t>
        </is>
      </c>
      <c r="C44" s="21">
        <f>C38*(1-Assumptions!$B$140)</f>
        <v/>
      </c>
      <c r="D44" s="21">
        <f>D38*(1-Assumptions!$B$140)</f>
        <v/>
      </c>
      <c r="E44" s="21">
        <f>E38*(1-Assumptions!$B$140)</f>
        <v/>
      </c>
      <c r="F44" s="21">
        <f>F38*(1-Assumptions!$B$140)</f>
        <v/>
      </c>
      <c r="G44" s="21">
        <f>G38*(1-Assumptions!$B$140)</f>
        <v/>
      </c>
    </row>
    <row r="45">
      <c r="A45" s="6" t="inlineStr">
        <is>
          <t>Implied blended dep rate (memo)</t>
        </is>
      </c>
      <c r="C45" s="23">
        <f>-C39/C37</f>
        <v/>
      </c>
      <c r="D45" s="23">
        <f>-D39/D37</f>
        <v/>
      </c>
      <c r="E45" s="23">
        <f>-E39/E37</f>
        <v/>
      </c>
      <c r="F45" s="23">
        <f>-F39/F37</f>
        <v/>
      </c>
      <c r="G45" s="23">
        <f>-G39/G37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WORKING CAPITAL SCHEDULE</t>
        </is>
      </c>
    </row>
    <row r="2">
      <c r="A2" s="2" t="inlineStr">
        <is>
          <t>AR = DSO × revenue / 365. Inventory = DIO × COGS / 365. AP = DPO × COGS / 365.</t>
        </is>
      </c>
    </row>
    <row r="4">
      <c r="A4" s="14" t="n"/>
      <c r="B4" s="15" t="inlineStr">
        <is>
          <t>Y0 (base)</t>
        </is>
      </c>
      <c r="C4" s="15" t="inlineStr">
        <is>
          <t>Y1</t>
        </is>
      </c>
      <c r="D4" s="15" t="inlineStr">
        <is>
          <t>Y2</t>
        </is>
      </c>
      <c r="E4" s="15" t="inlineStr">
        <is>
          <t>Y3</t>
        </is>
      </c>
      <c r="F4" s="15" t="inlineStr">
        <is>
          <t>Y4</t>
        </is>
      </c>
      <c r="G4" s="15" t="inlineStr">
        <is>
          <t>Y5</t>
        </is>
      </c>
    </row>
    <row r="6">
      <c r="A6" s="3" t="inlineStr">
        <is>
          <t>Reference</t>
        </is>
      </c>
    </row>
    <row r="7">
      <c r="A7" s="6" t="inlineStr">
        <is>
          <t>Revenue</t>
        </is>
      </c>
      <c r="B7" s="21">
        <f>Assumptions!$B$5</f>
        <v/>
      </c>
      <c r="C7" s="21">
        <f>IS!$C$14</f>
        <v/>
      </c>
      <c r="D7" s="21">
        <f>IS!$D$14</f>
        <v/>
      </c>
      <c r="E7" s="21">
        <f>IS!$E$14</f>
        <v/>
      </c>
      <c r="F7" s="21">
        <f>IS!$F$14</f>
        <v/>
      </c>
      <c r="G7" s="21">
        <f>IS!$G$14</f>
        <v/>
      </c>
    </row>
    <row r="8">
      <c r="A8" s="6" t="inlineStr">
        <is>
          <t>COGS (positive)</t>
        </is>
      </c>
      <c r="B8" s="21">
        <f>Assumptions!$B$12*Assumptions!$B$5</f>
        <v/>
      </c>
      <c r="C8" s="21">
        <f>Assumptions!$B$12*IS!$C$14</f>
        <v/>
      </c>
      <c r="D8" s="21">
        <f>Assumptions!$B$12*IS!$D$14</f>
        <v/>
      </c>
      <c r="E8" s="21">
        <f>Assumptions!$B$12*IS!$E$14</f>
        <v/>
      </c>
      <c r="F8" s="21">
        <f>Assumptions!$B$12*IS!$F$14</f>
        <v/>
      </c>
      <c r="G8" s="21">
        <f>Assumptions!$B$12*IS!$G$14</f>
        <v/>
      </c>
    </row>
    <row r="10">
      <c r="A10" s="3" t="inlineStr">
        <is>
          <t>Working capital balances (closing)</t>
        </is>
      </c>
    </row>
    <row r="11">
      <c r="A11" s="6" t="inlineStr">
        <is>
          <t>Accounts receivable</t>
        </is>
      </c>
      <c r="B11" s="21">
        <f>Assumptions!$B$36</f>
        <v/>
      </c>
      <c r="C11" s="21">
        <f>Assumptions!$B$27*C7/365</f>
        <v/>
      </c>
      <c r="D11" s="21">
        <f>Assumptions!$B$27*D7/365</f>
        <v/>
      </c>
      <c r="E11" s="21">
        <f>Assumptions!$B$27*E7/365</f>
        <v/>
      </c>
      <c r="F11" s="21">
        <f>Assumptions!$B$27*F7/365</f>
        <v/>
      </c>
      <c r="G11" s="21">
        <f>Assumptions!$B$27*G7/365</f>
        <v/>
      </c>
    </row>
    <row r="12">
      <c r="A12" s="6" t="inlineStr">
        <is>
          <t>Inventory</t>
        </is>
      </c>
      <c r="B12" s="21">
        <f>Assumptions!$B$37</f>
        <v/>
      </c>
      <c r="C12" s="21">
        <f>Assumptions!$B$28*C8/365</f>
        <v/>
      </c>
      <c r="D12" s="21">
        <f>Assumptions!$B$28*D8/365</f>
        <v/>
      </c>
      <c r="E12" s="21">
        <f>Assumptions!$B$28*E8/365</f>
        <v/>
      </c>
      <c r="F12" s="21">
        <f>Assumptions!$B$28*F8/365</f>
        <v/>
      </c>
      <c r="G12" s="21">
        <f>Assumptions!$B$28*G8/365</f>
        <v/>
      </c>
    </row>
    <row r="13">
      <c r="A13" s="6" t="inlineStr">
        <is>
          <t>Accounts payable</t>
        </is>
      </c>
      <c r="B13" s="21">
        <f>Assumptions!$B$46</f>
        <v/>
      </c>
      <c r="C13" s="21">
        <f>Assumptions!$B$29*C8/365</f>
        <v/>
      </c>
      <c r="D13" s="21">
        <f>Assumptions!$B$29*D8/365</f>
        <v/>
      </c>
      <c r="E13" s="21">
        <f>Assumptions!$B$29*E8/365</f>
        <v/>
      </c>
      <c r="F13" s="21">
        <f>Assumptions!$B$29*F8/365</f>
        <v/>
      </c>
      <c r="G13" s="21">
        <f>Assumptions!$B$29*G8/365</f>
        <v/>
      </c>
    </row>
    <row r="15">
      <c r="A15" s="3" t="inlineStr">
        <is>
          <t>Working capital movements (to CFS)</t>
        </is>
      </c>
    </row>
    <row r="16">
      <c r="A16" s="6" t="inlineStr">
        <is>
          <t>ΔReceivables (incr = use of cash)</t>
        </is>
      </c>
      <c r="C16" s="21">
        <f>-(C11-B11)</f>
        <v/>
      </c>
      <c r="D16" s="21">
        <f>-(D11-C11)</f>
        <v/>
      </c>
      <c r="E16" s="21">
        <f>-(E11-D11)</f>
        <v/>
      </c>
      <c r="F16" s="21">
        <f>-(F11-E11)</f>
        <v/>
      </c>
      <c r="G16" s="21">
        <f>-(G11-F11)</f>
        <v/>
      </c>
    </row>
    <row r="17">
      <c r="A17" s="6" t="inlineStr">
        <is>
          <t>ΔInventory (incr = use of cash)</t>
        </is>
      </c>
      <c r="C17" s="21">
        <f>-(C12-B12)</f>
        <v/>
      </c>
      <c r="D17" s="21">
        <f>-(D12-C12)</f>
        <v/>
      </c>
      <c r="E17" s="21">
        <f>-(E12-D12)</f>
        <v/>
      </c>
      <c r="F17" s="21">
        <f>-(F12-E12)</f>
        <v/>
      </c>
      <c r="G17" s="21">
        <f>-(G12-F12)</f>
        <v/>
      </c>
    </row>
    <row r="18">
      <c r="A18" s="6" t="inlineStr">
        <is>
          <t>ΔPayables (incr = source of cash)</t>
        </is>
      </c>
      <c r="C18" s="21">
        <f>(C13-B13)</f>
        <v/>
      </c>
      <c r="D18" s="21">
        <f>(D13-C13)</f>
        <v/>
      </c>
      <c r="E18" s="21">
        <f>(E13-D13)</f>
        <v/>
      </c>
      <c r="F18" s="21">
        <f>(F13-E13)</f>
        <v/>
      </c>
      <c r="G18" s="21">
        <f>(G13-F13)</f>
        <v/>
      </c>
    </row>
    <row r="20">
      <c r="A20" s="18" t="inlineStr">
        <is>
          <t>Total Δ working capital</t>
        </is>
      </c>
      <c r="C20" s="22">
        <f>C16+C17+C18</f>
        <v/>
      </c>
      <c r="D20" s="22">
        <f>D16+D17+D18</f>
        <v/>
      </c>
      <c r="E20" s="22">
        <f>E16+E17+E18</f>
        <v/>
      </c>
      <c r="F20" s="22">
        <f>F16+F17+F18</f>
        <v/>
      </c>
      <c r="G20" s="22">
        <f>G16+G17+G18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TAX SCHEDULE — current + deferred</t>
        </is>
      </c>
    </row>
    <row r="2">
      <c r="A2" s="2" t="inlineStr">
        <is>
          <t>Current tax = effective rate × pre-tax income. Deferred tax driven by PP&amp;E book-vs-tax depreciation timing.</t>
        </is>
      </c>
    </row>
    <row r="4">
      <c r="A4" s="14" t="n"/>
      <c r="C4" s="15" t="inlineStr">
        <is>
          <t>Y1</t>
        </is>
      </c>
      <c r="D4" s="15" t="inlineStr">
        <is>
          <t>Y2</t>
        </is>
      </c>
      <c r="E4" s="15" t="inlineStr">
        <is>
          <t>Y3</t>
        </is>
      </c>
      <c r="F4" s="15" t="inlineStr">
        <is>
          <t>Y4</t>
        </is>
      </c>
      <c r="G4" s="15" t="inlineStr">
        <is>
          <t>Y5</t>
        </is>
      </c>
    </row>
    <row r="6">
      <c r="A6" s="3" t="inlineStr">
        <is>
          <t>CURRENT TAX</t>
        </is>
      </c>
    </row>
    <row r="7">
      <c r="A7" s="6" t="inlineStr">
        <is>
          <t>Pre-tax income (from IS)</t>
        </is>
      </c>
      <c r="C7" s="21">
        <f>IS!$C$37</f>
        <v/>
      </c>
      <c r="D7" s="21">
        <f>IS!$D$37</f>
        <v/>
      </c>
      <c r="E7" s="21">
        <f>IS!$E$37</f>
        <v/>
      </c>
      <c r="F7" s="21">
        <f>IS!$F$37</f>
        <v/>
      </c>
      <c r="G7" s="21">
        <f>IS!$G$37</f>
        <v/>
      </c>
    </row>
    <row r="8">
      <c r="A8" s="6" t="inlineStr">
        <is>
          <t>Effective tax rate</t>
        </is>
      </c>
      <c r="C8" s="23">
        <f>Assumptions!$B$20</f>
        <v/>
      </c>
      <c r="D8" s="23">
        <f>Assumptions!$B$20</f>
        <v/>
      </c>
      <c r="E8" s="23">
        <f>Assumptions!$B$20</f>
        <v/>
      </c>
      <c r="F8" s="23">
        <f>Assumptions!$B$20</f>
        <v/>
      </c>
      <c r="G8" s="23">
        <f>Assumptions!$B$20</f>
        <v/>
      </c>
    </row>
    <row r="9">
      <c r="A9" s="18" t="inlineStr">
        <is>
          <t>Current tax expense</t>
        </is>
      </c>
      <c r="C9" s="22">
        <f>MAX(0,C7*C8)</f>
        <v/>
      </c>
      <c r="D9" s="22">
        <f>MAX(0,D7*D8)</f>
        <v/>
      </c>
      <c r="E9" s="22">
        <f>MAX(0,E7*E8)</f>
        <v/>
      </c>
      <c r="F9" s="22">
        <f>MAX(0,F7*F8)</f>
        <v/>
      </c>
      <c r="G9" s="22">
        <f>MAX(0,G7*G8)</f>
        <v/>
      </c>
    </row>
    <row r="11">
      <c r="A11" s="3" t="inlineStr">
        <is>
          <t>DEFERRED TAX  (PP&amp;E book vs tax depreciation)</t>
        </is>
      </c>
    </row>
    <row r="12">
      <c r="A12" s="6" t="inlineStr">
        <is>
          <t>Book depreciation (PP&amp;E)</t>
        </is>
      </c>
      <c r="C12" s="21">
        <f>-PPE!$C$39</f>
        <v/>
      </c>
      <c r="D12" s="21">
        <f>-PPE!$D$39</f>
        <v/>
      </c>
      <c r="E12" s="21">
        <f>-PPE!$E$39</f>
        <v/>
      </c>
      <c r="F12" s="21">
        <f>-PPE!$F$39</f>
        <v/>
      </c>
      <c r="G12" s="21">
        <f>-PPE!$G$39</f>
        <v/>
      </c>
    </row>
    <row r="13">
      <c r="A13" s="6" t="inlineStr">
        <is>
          <t>Tax depreciation (accelerated)</t>
        </is>
      </c>
      <c r="C13" s="21">
        <f>Assumptions!$B$164*PPE!$B$40</f>
        <v/>
      </c>
      <c r="D13" s="21">
        <f>Assumptions!$B$164*PPE!$C$40</f>
        <v/>
      </c>
      <c r="E13" s="21">
        <f>Assumptions!$B$164*PPE!$D$40</f>
        <v/>
      </c>
      <c r="F13" s="21">
        <f>Assumptions!$B$164*PPE!$E$40</f>
        <v/>
      </c>
      <c r="G13" s="21">
        <f>Assumptions!$B$164*PPE!$F$40</f>
        <v/>
      </c>
    </row>
    <row r="14">
      <c r="A14" s="6" t="inlineStr">
        <is>
          <t>Timing difference (tax &gt; book)</t>
        </is>
      </c>
      <c r="C14" s="21">
        <f>C13-C12</f>
        <v/>
      </c>
      <c r="D14" s="21">
        <f>D13-D12</f>
        <v/>
      </c>
      <c r="E14" s="21">
        <f>E13-E12</f>
        <v/>
      </c>
      <c r="F14" s="21">
        <f>F13-F12</f>
        <v/>
      </c>
      <c r="G14" s="21">
        <f>G13-G12</f>
        <v/>
      </c>
    </row>
    <row r="15">
      <c r="A15" s="18" t="inlineStr">
        <is>
          <t>Deferred tax expense (= timing × rate)</t>
        </is>
      </c>
      <c r="C15" s="22">
        <f>C14*C8</f>
        <v/>
      </c>
      <c r="D15" s="22">
        <f>D14*D8</f>
        <v/>
      </c>
      <c r="E15" s="22">
        <f>E14*E8</f>
        <v/>
      </c>
      <c r="F15" s="22">
        <f>F14*F8</f>
        <v/>
      </c>
      <c r="G15" s="22">
        <f>G14*G8</f>
        <v/>
      </c>
    </row>
    <row r="16">
      <c r="A16" s="6" t="inlineStr">
        <is>
          <t>Closing DTL (rollforward)</t>
        </is>
      </c>
      <c r="C16" s="21">
        <f>Assumptions!$B$52+C15</f>
        <v/>
      </c>
      <c r="D16" s="21">
        <f>C16+D15</f>
        <v/>
      </c>
      <c r="E16" s="21">
        <f>D16+E15</f>
        <v/>
      </c>
      <c r="F16" s="21">
        <f>E16+F15</f>
        <v/>
      </c>
      <c r="G16" s="21">
        <f>F16+G15</f>
        <v/>
      </c>
    </row>
    <row r="18">
      <c r="A18" s="18" t="inlineStr">
        <is>
          <t>TOTAL TAX EXPENSE (current + deferred)</t>
        </is>
      </c>
      <c r="C18" s="22">
        <f>C9+C15</f>
        <v/>
      </c>
      <c r="D18" s="22">
        <f>D9+D15</f>
        <v/>
      </c>
      <c r="E18" s="22">
        <f>E9+E15</f>
        <v/>
      </c>
      <c r="F18" s="22">
        <f>F9+F15</f>
        <v/>
      </c>
      <c r="G18" s="22">
        <f>G9+G15</f>
        <v/>
      </c>
    </row>
    <row r="19">
      <c r="A19" s="6" t="inlineStr">
        <is>
          <t>Effective tax rate (incl. deferred)</t>
        </is>
      </c>
      <c r="C19" s="23">
        <f>C18/C7</f>
        <v/>
      </c>
      <c r="D19" s="23">
        <f>D18/D7</f>
        <v/>
      </c>
      <c r="E19" s="23">
        <f>E18/E7</f>
        <v/>
      </c>
      <c r="F19" s="23">
        <f>F18/F7</f>
        <v/>
      </c>
      <c r="G19" s="23">
        <f>G18/G7</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INCOME STATEMENT</t>
        </is>
      </c>
    </row>
    <row r="2">
      <c r="A2" s="2" t="inlineStr">
        <is>
          <t>Segment-disclosed revenue + 10-line cost split + finance items + tax + attributable NI + EPS. All figures SAR billion, EPS in SAR.</t>
        </is>
      </c>
    </row>
    <row r="4">
      <c r="A4" s="14" t="n"/>
      <c r="C4" s="15" t="inlineStr">
        <is>
          <t>Y1</t>
        </is>
      </c>
      <c r="D4" s="15" t="inlineStr">
        <is>
          <t>Y2</t>
        </is>
      </c>
      <c r="E4" s="15" t="inlineStr">
        <is>
          <t>Y3</t>
        </is>
      </c>
      <c r="F4" s="15" t="inlineStr">
        <is>
          <t>Y4</t>
        </is>
      </c>
      <c r="G4" s="15" t="inlineStr">
        <is>
          <t>Y5</t>
        </is>
      </c>
    </row>
    <row r="5">
      <c r="A5" s="3" t="inlineStr">
        <is>
          <t>REVENUE</t>
        </is>
      </c>
    </row>
    <row r="6">
      <c r="A6" s="6" t="inlineStr">
        <is>
          <t xml:space="preserve">  Mobile postpaid</t>
        </is>
      </c>
      <c r="C6" s="21">
        <f>Drivers!$C$31</f>
        <v/>
      </c>
      <c r="D6" s="21">
        <f>Drivers!$D$31</f>
        <v/>
      </c>
      <c r="E6" s="21">
        <f>Drivers!$E$31</f>
        <v/>
      </c>
      <c r="F6" s="21">
        <f>Drivers!$F$31</f>
        <v/>
      </c>
      <c r="G6" s="21">
        <f>Drivers!$G$31</f>
        <v/>
      </c>
    </row>
    <row r="7">
      <c r="A7" s="6" t="inlineStr">
        <is>
          <t xml:space="preserve">  Mobile prepaid</t>
        </is>
      </c>
      <c r="C7" s="21">
        <f>Drivers!$C$32</f>
        <v/>
      </c>
      <c r="D7" s="21">
        <f>Drivers!$D$32</f>
        <v/>
      </c>
      <c r="E7" s="21">
        <f>Drivers!$E$32</f>
        <v/>
      </c>
      <c r="F7" s="21">
        <f>Drivers!$F$32</f>
        <v/>
      </c>
      <c r="G7" s="21">
        <f>Drivers!$G$32</f>
        <v/>
      </c>
    </row>
    <row r="8">
      <c r="A8" s="6" t="inlineStr">
        <is>
          <t xml:space="preserve">  Fixed broadband</t>
        </is>
      </c>
      <c r="C8" s="21">
        <f>Drivers!$C$33</f>
        <v/>
      </c>
      <c r="D8" s="21">
        <f>Drivers!$D$33</f>
        <v/>
      </c>
      <c r="E8" s="21">
        <f>Drivers!$E$33</f>
        <v/>
      </c>
      <c r="F8" s="21">
        <f>Drivers!$F$33</f>
        <v/>
      </c>
      <c r="G8" s="21">
        <f>Drivers!$G$33</f>
        <v/>
      </c>
    </row>
    <row r="9">
      <c r="A9" s="6" t="inlineStr">
        <is>
          <t xml:space="preserve">  B2B connectivity</t>
        </is>
      </c>
      <c r="C9" s="21">
        <f>Drivers!$C$34</f>
        <v/>
      </c>
      <c r="D9" s="21">
        <f>Drivers!$D$34</f>
        <v/>
      </c>
      <c r="E9" s="21">
        <f>Drivers!$E$34</f>
        <v/>
      </c>
      <c r="F9" s="21">
        <f>Drivers!$F$34</f>
        <v/>
      </c>
      <c r="G9" s="21">
        <f>Drivers!$G$34</f>
        <v/>
      </c>
    </row>
    <row r="10">
      <c r="A10" s="6" t="inlineStr">
        <is>
          <t xml:space="preserve">  ICT / cloud</t>
        </is>
      </c>
      <c r="C10" s="21">
        <f>Drivers!$C$35</f>
        <v/>
      </c>
      <c r="D10" s="21">
        <f>Drivers!$D$35</f>
        <v/>
      </c>
      <c r="E10" s="21">
        <f>Drivers!$E$35</f>
        <v/>
      </c>
      <c r="F10" s="21">
        <f>Drivers!$F$35</f>
        <v/>
      </c>
      <c r="G10" s="21">
        <f>Drivers!$G$35</f>
        <v/>
      </c>
    </row>
    <row r="11">
      <c r="A11" s="6" t="inlineStr">
        <is>
          <t xml:space="preserve">  Wholesale</t>
        </is>
      </c>
      <c r="C11" s="21">
        <f>Drivers!$C$36</f>
        <v/>
      </c>
      <c r="D11" s="21">
        <f>Drivers!$D$36</f>
        <v/>
      </c>
      <c r="E11" s="21">
        <f>Drivers!$E$36</f>
        <v/>
      </c>
      <c r="F11" s="21">
        <f>Drivers!$F$36</f>
        <v/>
      </c>
      <c r="G11" s="21">
        <f>Drivers!$G$36</f>
        <v/>
      </c>
    </row>
    <row r="12">
      <c r="A12" s="5" t="inlineStr">
        <is>
          <t>Total service revenue</t>
        </is>
      </c>
      <c r="C12" s="24">
        <f>C6+C7+C8+C9+C10+C11</f>
        <v/>
      </c>
      <c r="D12" s="24">
        <f>D6+D7+D8+D9+D10+D11</f>
        <v/>
      </c>
      <c r="E12" s="24">
        <f>E6+E7+E8+E9+E10+E11</f>
        <v/>
      </c>
      <c r="F12" s="24">
        <f>F6+F7+F8+F9+F10+F11</f>
        <v/>
      </c>
      <c r="G12" s="24">
        <f>G6+G7+G8+G9+G10+G11</f>
        <v/>
      </c>
    </row>
    <row r="13">
      <c r="A13" s="6" t="inlineStr">
        <is>
          <t>Equipment / handset revenue</t>
        </is>
      </c>
      <c r="C13" s="21">
        <f>Drivers!$C$39</f>
        <v/>
      </c>
      <c r="D13" s="21">
        <f>Drivers!$D$39</f>
        <v/>
      </c>
      <c r="E13" s="21">
        <f>Drivers!$E$39</f>
        <v/>
      </c>
      <c r="F13" s="21">
        <f>Drivers!$F$39</f>
        <v/>
      </c>
      <c r="G13" s="21">
        <f>Drivers!$G$39</f>
        <v/>
      </c>
    </row>
    <row r="14">
      <c r="A14" s="18" t="inlineStr">
        <is>
          <t>TOTAL REVENUE</t>
        </is>
      </c>
      <c r="C14" s="22">
        <f>C12+C13</f>
        <v/>
      </c>
      <c r="D14" s="22">
        <f>D12+D13</f>
        <v/>
      </c>
      <c r="E14" s="22">
        <f>E12+E13</f>
        <v/>
      </c>
      <c r="F14" s="22">
        <f>F12+F13</f>
        <v/>
      </c>
      <c r="G14" s="22">
        <f>G12+G13</f>
        <v/>
      </c>
    </row>
    <row r="16">
      <c r="A16" s="3" t="inlineStr">
        <is>
          <t>OPERATING COSTS</t>
        </is>
      </c>
    </row>
    <row r="17">
      <c r="A17" s="6" t="inlineStr">
        <is>
          <t xml:space="preserve">  Interconnect &amp; roaming</t>
        </is>
      </c>
      <c r="C17" s="21">
        <f>-Assumptions!$B$109*C14</f>
        <v/>
      </c>
      <c r="D17" s="21">
        <f>-Assumptions!$B$109*D14</f>
        <v/>
      </c>
      <c r="E17" s="21">
        <f>-Assumptions!$B$109*E14</f>
        <v/>
      </c>
      <c r="F17" s="21">
        <f>-Assumptions!$B$109*F14</f>
        <v/>
      </c>
      <c r="G17" s="21">
        <f>-Assumptions!$B$109*G14</f>
        <v/>
      </c>
    </row>
    <row r="18">
      <c r="A18" s="6" t="inlineStr">
        <is>
          <t xml:space="preserve">  Content / OTT licensing</t>
        </is>
      </c>
      <c r="C18" s="21">
        <f>-Assumptions!$B$110*C14</f>
        <v/>
      </c>
      <c r="D18" s="21">
        <f>-Assumptions!$B$110*D14</f>
        <v/>
      </c>
      <c r="E18" s="21">
        <f>-Assumptions!$B$110*E14</f>
        <v/>
      </c>
      <c r="F18" s="21">
        <f>-Assumptions!$B$110*F14</f>
        <v/>
      </c>
      <c r="G18" s="21">
        <f>-Assumptions!$B$110*G14</f>
        <v/>
      </c>
    </row>
    <row r="19">
      <c r="A19" s="6" t="inlineStr">
        <is>
          <t xml:space="preserve">  Equipment COGS</t>
        </is>
      </c>
      <c r="C19" s="21">
        <f>-C13*(1-Assumptions!$B$106)</f>
        <v/>
      </c>
      <c r="D19" s="21">
        <f>-D13*(1-Assumptions!$B$106)</f>
        <v/>
      </c>
      <c r="E19" s="21">
        <f>-E13*(1-Assumptions!$B$106)</f>
        <v/>
      </c>
      <c r="F19" s="21">
        <f>-F13*(1-Assumptions!$B$106)</f>
        <v/>
      </c>
      <c r="G19" s="21">
        <f>-G13*(1-Assumptions!$B$106)</f>
        <v/>
      </c>
    </row>
    <row r="20">
      <c r="A20" s="6" t="inlineStr">
        <is>
          <t xml:space="preserve">  Network energy + site lease</t>
        </is>
      </c>
      <c r="C20" s="21">
        <f>-Assumptions!$B$111*C14</f>
        <v/>
      </c>
      <c r="D20" s="21">
        <f>-Assumptions!$B$111*D14</f>
        <v/>
      </c>
      <c r="E20" s="21">
        <f>-Assumptions!$B$111*E14</f>
        <v/>
      </c>
      <c r="F20" s="21">
        <f>-Assumptions!$B$111*F14</f>
        <v/>
      </c>
      <c r="G20" s="21">
        <f>-Assumptions!$B$111*G14</f>
        <v/>
      </c>
    </row>
    <row r="21">
      <c r="A21" s="6" t="inlineStr">
        <is>
          <t xml:space="preserve">  Other network opex</t>
        </is>
      </c>
      <c r="C21" s="21">
        <f>-Assumptions!$B$112*C14</f>
        <v/>
      </c>
      <c r="D21" s="21">
        <f>-Assumptions!$B$112*D14</f>
        <v/>
      </c>
      <c r="E21" s="21">
        <f>-Assumptions!$B$112*E14</f>
        <v/>
      </c>
      <c r="F21" s="21">
        <f>-Assumptions!$B$112*F14</f>
        <v/>
      </c>
      <c r="G21" s="21">
        <f>-Assumptions!$B$112*G14</f>
        <v/>
      </c>
    </row>
    <row r="22">
      <c r="A22" s="6" t="inlineStr">
        <is>
          <t xml:space="preserve">  Employee costs</t>
        </is>
      </c>
      <c r="C22" s="21">
        <f>-Assumptions!$B$14*C14</f>
        <v/>
      </c>
      <c r="D22" s="21">
        <f>-Assumptions!$B$14*D14</f>
        <v/>
      </c>
      <c r="E22" s="21">
        <f>-Assumptions!$B$14*E14</f>
        <v/>
      </c>
      <c r="F22" s="21">
        <f>-Assumptions!$B$14*F14</f>
        <v/>
      </c>
      <c r="G22" s="21">
        <f>-Assumptions!$B$14*G14</f>
        <v/>
      </c>
    </row>
    <row r="23">
      <c r="A23" s="6" t="inlineStr">
        <is>
          <t xml:space="preserve">  Customer acquisition (commissions, subsidies)</t>
        </is>
      </c>
      <c r="C23" s="21">
        <f>-Assumptions!$B$15*C14</f>
        <v/>
      </c>
      <c r="D23" s="21">
        <f>-Assumptions!$B$15*D14</f>
        <v/>
      </c>
      <c r="E23" s="21">
        <f>-Assumptions!$B$15*E14</f>
        <v/>
      </c>
      <c r="F23" s="21">
        <f>-Assumptions!$B$15*F14</f>
        <v/>
      </c>
      <c r="G23" s="21">
        <f>-Assumptions!$B$15*G14</f>
        <v/>
      </c>
    </row>
    <row r="24">
      <c r="A24" s="6" t="inlineStr">
        <is>
          <t xml:space="preserve">  Other commercial / marketing</t>
        </is>
      </c>
      <c r="C24" s="21">
        <f>-Assumptions!$B$113*C14</f>
        <v/>
      </c>
      <c r="D24" s="21">
        <f>-Assumptions!$B$113*D14</f>
        <v/>
      </c>
      <c r="E24" s="21">
        <f>-Assumptions!$B$113*E14</f>
        <v/>
      </c>
      <c r="F24" s="21">
        <f>-Assumptions!$B$113*F14</f>
        <v/>
      </c>
      <c r="G24" s="21">
        <f>-Assumptions!$B$113*G14</f>
        <v/>
      </c>
    </row>
    <row r="25">
      <c r="A25" s="6" t="inlineStr">
        <is>
          <t xml:space="preserve">  G&amp;A / overhead</t>
        </is>
      </c>
      <c r="C25" s="21">
        <f>-Assumptions!$B$114*C14</f>
        <v/>
      </c>
      <c r="D25" s="21">
        <f>-Assumptions!$B$114*D14</f>
        <v/>
      </c>
      <c r="E25" s="21">
        <f>-Assumptions!$B$114*E14</f>
        <v/>
      </c>
      <c r="F25" s="21">
        <f>-Assumptions!$B$114*F14</f>
        <v/>
      </c>
      <c r="G25" s="21">
        <f>-Assumptions!$B$114*G14</f>
        <v/>
      </c>
    </row>
    <row r="26">
      <c r="A26" s="6" t="inlineStr">
        <is>
          <t xml:space="preserve">  FX losses (net)</t>
        </is>
      </c>
      <c r="C26" s="21">
        <f>-Assumptions!$B$115*C14</f>
        <v/>
      </c>
      <c r="D26" s="21">
        <f>-Assumptions!$B$115*D14</f>
        <v/>
      </c>
      <c r="E26" s="21">
        <f>-Assumptions!$B$115*E14</f>
        <v/>
      </c>
      <c r="F26" s="21">
        <f>-Assumptions!$B$115*F14</f>
        <v/>
      </c>
      <c r="G26" s="21">
        <f>-Assumptions!$B$115*G14</f>
        <v/>
      </c>
    </row>
    <row r="27">
      <c r="A27" s="5" t="inlineStr">
        <is>
          <t>Total operating costs</t>
        </is>
      </c>
      <c r="C27" s="24">
        <f>C17+C18+C19+C20+C21+C22+C23+C24+C25+C26</f>
        <v/>
      </c>
      <c r="D27" s="24">
        <f>D17+D18+D19+D20+D21+D22+D23+D24+D25+D26</f>
        <v/>
      </c>
      <c r="E27" s="24">
        <f>E17+E18+E19+E20+E21+E22+E23+E24+E25+E26</f>
        <v/>
      </c>
      <c r="F27" s="24">
        <f>F17+F18+F19+F20+F21+F22+F23+F24+F25+F26</f>
        <v/>
      </c>
      <c r="G27" s="24">
        <f>G17+G18+G19+G20+G21+G22+G23+G24+G25+G26</f>
        <v/>
      </c>
    </row>
    <row r="28">
      <c r="A28" s="18" t="inlineStr">
        <is>
          <t>EBITDA</t>
        </is>
      </c>
      <c r="C28" s="22">
        <f>C14+C27</f>
        <v/>
      </c>
      <c r="D28" s="22">
        <f>D14+D27</f>
        <v/>
      </c>
      <c r="E28" s="22">
        <f>E14+E27</f>
        <v/>
      </c>
      <c r="F28" s="22">
        <f>F14+F27</f>
        <v/>
      </c>
      <c r="G28" s="22">
        <f>G14+G27</f>
        <v/>
      </c>
    </row>
    <row r="30">
      <c r="A30" s="6" t="inlineStr">
        <is>
          <t>Depreciation (PP&amp;E + right-of-use)</t>
        </is>
      </c>
      <c r="C30" s="21">
        <f>PPE!$C$39+Leases!$C$9</f>
        <v/>
      </c>
      <c r="D30" s="21">
        <f>PPE!$D$39+Leases!$D$9</f>
        <v/>
      </c>
      <c r="E30" s="21">
        <f>PPE!$E$39+Leases!$E$9</f>
        <v/>
      </c>
      <c r="F30" s="21">
        <f>PPE!$F$39+Leases!$F$9</f>
        <v/>
      </c>
      <c r="G30" s="21">
        <f>PPE!$G$39+Leases!$G$9</f>
        <v/>
      </c>
    </row>
    <row r="31">
      <c r="A31" s="6" t="inlineStr">
        <is>
          <t>Amortisation (intangibles + spectrum)</t>
        </is>
      </c>
      <c r="C31" s="21">
        <f>-Assumptions!$B$118*C14+Spectrum!$C$24</f>
        <v/>
      </c>
      <c r="D31" s="21">
        <f>-Assumptions!$B$118*D14+Spectrum!$D$24</f>
        <v/>
      </c>
      <c r="E31" s="21">
        <f>-Assumptions!$B$118*E14+Spectrum!$E$24</f>
        <v/>
      </c>
      <c r="F31" s="21">
        <f>-Assumptions!$B$118*F14+Spectrum!$F$24</f>
        <v/>
      </c>
      <c r="G31" s="21">
        <f>-Assumptions!$B$118*G14+Spectrum!$G$24</f>
        <v/>
      </c>
    </row>
    <row r="32">
      <c r="A32" s="18" t="inlineStr">
        <is>
          <t>EBIT</t>
        </is>
      </c>
      <c r="C32" s="22">
        <f>C28+C30+C31</f>
        <v/>
      </c>
      <c r="D32" s="22">
        <f>D28+D30+D31</f>
        <v/>
      </c>
      <c r="E32" s="22">
        <f>E28+E30+E31</f>
        <v/>
      </c>
      <c r="F32" s="22">
        <f>F28+F30+F31</f>
        <v/>
      </c>
      <c r="G32" s="22">
        <f>G28+G30+G31</f>
        <v/>
      </c>
    </row>
    <row r="34">
      <c r="A34" s="6" t="inlineStr">
        <is>
          <t>Finance income</t>
        </is>
      </c>
      <c r="C34" s="21">
        <f>Assumptions!$B$17*C14</f>
        <v/>
      </c>
      <c r="D34" s="21">
        <f>Assumptions!$B$17*D14</f>
        <v/>
      </c>
      <c r="E34" s="21">
        <f>Assumptions!$B$17*E14</f>
        <v/>
      </c>
      <c r="F34" s="21">
        <f>Assumptions!$B$17*F14</f>
        <v/>
      </c>
      <c r="G34" s="21">
        <f>Assumptions!$B$17*G14</f>
        <v/>
      </c>
    </row>
    <row r="35">
      <c r="A35" s="6" t="inlineStr">
        <is>
          <t>Finance costs (interest + lease interest)</t>
        </is>
      </c>
      <c r="C35" s="21">
        <f>-Debt!$C$45-Leases!$C$14</f>
        <v/>
      </c>
      <c r="D35" s="21">
        <f>-Debt!$D$45-Leases!$D$14</f>
        <v/>
      </c>
      <c r="E35" s="21">
        <f>-Debt!$E$45-Leases!$E$14</f>
        <v/>
      </c>
      <c r="F35" s="21">
        <f>-Debt!$F$45-Leases!$F$14</f>
        <v/>
      </c>
      <c r="G35" s="21">
        <f>-Debt!$G$45-Leases!$G$14</f>
        <v/>
      </c>
    </row>
    <row r="36">
      <c r="A36" s="6" t="inlineStr">
        <is>
          <t>Share of associates / JVs</t>
        </is>
      </c>
      <c r="C36" s="21">
        <f>Assumptions!$B$119*(1+Assumptions!$B$120)^1</f>
        <v/>
      </c>
      <c r="D36" s="21">
        <f>Assumptions!$B$119*(1+Assumptions!$B$120)^2</f>
        <v/>
      </c>
      <c r="E36" s="21">
        <f>Assumptions!$B$119*(1+Assumptions!$B$120)^3</f>
        <v/>
      </c>
      <c r="F36" s="21">
        <f>Assumptions!$B$119*(1+Assumptions!$B$120)^4</f>
        <v/>
      </c>
      <c r="G36" s="21">
        <f>Assumptions!$B$119*(1+Assumptions!$B$120)^5</f>
        <v/>
      </c>
    </row>
    <row r="37">
      <c r="A37" s="5" t="inlineStr">
        <is>
          <t>Profit before tax</t>
        </is>
      </c>
      <c r="C37" s="24">
        <f>C32+C34+C35+C36</f>
        <v/>
      </c>
      <c r="D37" s="24">
        <f>D32+D34+D35+D36</f>
        <v/>
      </c>
      <c r="E37" s="24">
        <f>E32+E34+E35+E36</f>
        <v/>
      </c>
      <c r="F37" s="24">
        <f>F32+F34+F35+F36</f>
        <v/>
      </c>
      <c r="G37" s="24">
        <f>G32+G34+G35+G36</f>
        <v/>
      </c>
    </row>
    <row r="38">
      <c r="A38" s="6" t="inlineStr">
        <is>
          <t>Current tax expense</t>
        </is>
      </c>
      <c r="C38" s="21">
        <f>-Tax!$C$9</f>
        <v/>
      </c>
      <c r="D38" s="21">
        <f>-Tax!$D$9</f>
        <v/>
      </c>
      <c r="E38" s="21">
        <f>-Tax!$E$9</f>
        <v/>
      </c>
      <c r="F38" s="21">
        <f>-Tax!$F$9</f>
        <v/>
      </c>
      <c r="G38" s="21">
        <f>-Tax!$G$9</f>
        <v/>
      </c>
    </row>
    <row r="39">
      <c r="A39" s="6" t="inlineStr">
        <is>
          <t>Deferred tax (movement)</t>
        </is>
      </c>
      <c r="C39" s="21">
        <f>-Tax!$C$15</f>
        <v/>
      </c>
      <c r="D39" s="21">
        <f>-Tax!$D$15</f>
        <v/>
      </c>
      <c r="E39" s="21">
        <f>-Tax!$E$15</f>
        <v/>
      </c>
      <c r="F39" s="21">
        <f>-Tax!$F$15</f>
        <v/>
      </c>
      <c r="G39" s="21">
        <f>-Tax!$G$15</f>
        <v/>
      </c>
    </row>
    <row r="40">
      <c r="A40" s="18" t="inlineStr">
        <is>
          <t>NET INCOME</t>
        </is>
      </c>
      <c r="C40" s="22">
        <f>C37+C38+C39</f>
        <v/>
      </c>
      <c r="D40" s="22">
        <f>D37+D38+D39</f>
        <v/>
      </c>
      <c r="E40" s="22">
        <f>E37+E38+E39</f>
        <v/>
      </c>
      <c r="F40" s="22">
        <f>F37+F38+F39</f>
        <v/>
      </c>
      <c r="G40" s="22">
        <f>G37+G38+G39</f>
        <v/>
      </c>
    </row>
    <row r="42">
      <c r="A42" s="6" t="inlineStr">
        <is>
          <t>Attributable to equity holders of the parent</t>
        </is>
      </c>
      <c r="C42" s="21">
        <f>C40*(1-Assumptions!$B$121)</f>
        <v/>
      </c>
      <c r="D42" s="21">
        <f>D40*(1-Assumptions!$B$121)</f>
        <v/>
      </c>
      <c r="E42" s="21">
        <f>E40*(1-Assumptions!$B$121)</f>
        <v/>
      </c>
      <c r="F42" s="21">
        <f>F40*(1-Assumptions!$B$121)</f>
        <v/>
      </c>
      <c r="G42" s="21">
        <f>G40*(1-Assumptions!$B$121)</f>
        <v/>
      </c>
    </row>
    <row r="43">
      <c r="A43" s="6" t="inlineStr">
        <is>
          <t>Attributable to minority interest</t>
        </is>
      </c>
      <c r="C43" s="21">
        <f>C40*Assumptions!$B$121</f>
        <v/>
      </c>
      <c r="D43" s="21">
        <f>D40*Assumptions!$B$121</f>
        <v/>
      </c>
      <c r="E43" s="21">
        <f>E40*Assumptions!$B$121</f>
        <v/>
      </c>
      <c r="F43" s="21">
        <f>F40*Assumptions!$B$121</f>
        <v/>
      </c>
      <c r="G43" s="21">
        <f>G40*Assumptions!$B$121</f>
        <v/>
      </c>
    </row>
    <row r="45">
      <c r="A45" s="6" t="inlineStr">
        <is>
          <t>Basic EPS (SAR / share)</t>
        </is>
      </c>
      <c r="C45" s="25">
        <f>C42*1000/Assumptions!$B$32</f>
        <v/>
      </c>
      <c r="D45" s="25">
        <f>D42*1000/Assumptions!$B$32</f>
        <v/>
      </c>
      <c r="E45" s="25">
        <f>E42*1000/Assumptions!$B$32</f>
        <v/>
      </c>
      <c r="F45" s="25">
        <f>F42*1000/Assumptions!$B$32</f>
        <v/>
      </c>
      <c r="G45" s="25">
        <f>G42*1000/Assumptions!$B$32</f>
        <v/>
      </c>
    </row>
    <row r="47">
      <c r="A47" s="3" t="inlineStr">
        <is>
          <t>MEMO</t>
        </is>
      </c>
    </row>
    <row r="48">
      <c r="A48" s="6" t="inlineStr">
        <is>
          <t xml:space="preserve">  EBITDA margin</t>
        </is>
      </c>
      <c r="C48" s="23">
        <f>C28/C14</f>
        <v/>
      </c>
      <c r="D48" s="23">
        <f>D28/D14</f>
        <v/>
      </c>
      <c r="E48" s="23">
        <f>E28/E14</f>
        <v/>
      </c>
      <c r="F48" s="23">
        <f>F28/F14</f>
        <v/>
      </c>
      <c r="G48" s="23">
        <f>G28/G14</f>
        <v/>
      </c>
    </row>
    <row r="49">
      <c r="A49" s="6" t="inlineStr">
        <is>
          <t xml:space="preserve">  EBIT margin</t>
        </is>
      </c>
      <c r="C49" s="23">
        <f>C32/C14</f>
        <v/>
      </c>
      <c r="D49" s="23">
        <f>D32/D14</f>
        <v/>
      </c>
      <c r="E49" s="23">
        <f>E32/E14</f>
        <v/>
      </c>
      <c r="F49" s="23">
        <f>F32/F14</f>
        <v/>
      </c>
      <c r="G49" s="23">
        <f>G32/G14</f>
        <v/>
      </c>
    </row>
    <row r="50">
      <c r="A50" s="6" t="inlineStr">
        <is>
          <t xml:space="preserve">  Net margin</t>
        </is>
      </c>
      <c r="C50" s="23">
        <f>C40/C14</f>
        <v/>
      </c>
      <c r="D50" s="23">
        <f>D40/D14</f>
        <v/>
      </c>
      <c r="E50" s="23">
        <f>E40/E14</f>
        <v/>
      </c>
      <c r="F50" s="23">
        <f>F40/F14</f>
        <v/>
      </c>
      <c r="G50" s="23">
        <f>G40/G14</f>
        <v/>
      </c>
    </row>
    <row r="51">
      <c r="A51" s="6" t="inlineStr">
        <is>
          <t xml:space="preserve">  Effective tax rate</t>
        </is>
      </c>
      <c r="C51" s="23">
        <f>-(C38+C39)/C37</f>
        <v/>
      </c>
      <c r="D51" s="23">
        <f>-(D38+D39)/D37</f>
        <v/>
      </c>
      <c r="E51" s="23">
        <f>-(E38+E39)/E37</f>
        <v/>
      </c>
      <c r="F51" s="23">
        <f>-(F38+F39)/F37</f>
        <v/>
      </c>
      <c r="G51" s="23">
        <f>-(G38+G39)/G37</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SEGMENT P&amp;L  (contribution margin view)</t>
        </is>
      </c>
    </row>
    <row r="2">
      <c r="A2" s="2" t="inlineStr">
        <is>
          <t>Each segment carries its own contribution margin (segment revenue × CM%). Difference vs. IS EBITDA = unallocated group overhead.</t>
        </is>
      </c>
    </row>
    <row r="4">
      <c r="A4" s="14" t="n"/>
      <c r="B4" s="15" t="inlineStr">
        <is>
          <t>Y0 (base)</t>
        </is>
      </c>
      <c r="C4" s="15" t="inlineStr">
        <is>
          <t>Y1</t>
        </is>
      </c>
      <c r="D4" s="15" t="inlineStr">
        <is>
          <t>Y2</t>
        </is>
      </c>
      <c r="E4" s="15" t="inlineStr">
        <is>
          <t>Y3</t>
        </is>
      </c>
      <c r="F4" s="15" t="inlineStr">
        <is>
          <t>Y4</t>
        </is>
      </c>
      <c r="G4" s="15" t="inlineStr">
        <is>
          <t>Y5</t>
        </is>
      </c>
    </row>
    <row r="6">
      <c r="A6" s="3" t="inlineStr">
        <is>
          <t>REVENUE</t>
        </is>
      </c>
    </row>
    <row r="7">
      <c r="A7" s="6" t="inlineStr">
        <is>
          <t xml:space="preserve">  Mobile postpaid</t>
        </is>
      </c>
      <c r="B7" s="21">
        <f>Drivers!$B$31</f>
        <v/>
      </c>
      <c r="C7" s="21">
        <f>Drivers!$C$31</f>
        <v/>
      </c>
      <c r="D7" s="21">
        <f>Drivers!$D$31</f>
        <v/>
      </c>
      <c r="E7" s="21">
        <f>Drivers!$E$31</f>
        <v/>
      </c>
      <c r="F7" s="21">
        <f>Drivers!$F$31</f>
        <v/>
      </c>
      <c r="G7" s="21">
        <f>Drivers!$G$31</f>
        <v/>
      </c>
    </row>
    <row r="8">
      <c r="A8" s="6" t="inlineStr">
        <is>
          <t xml:space="preserve">  Mobile prepaid</t>
        </is>
      </c>
      <c r="B8" s="21">
        <f>Drivers!$B$32</f>
        <v/>
      </c>
      <c r="C8" s="21">
        <f>Drivers!$C$32</f>
        <v/>
      </c>
      <c r="D8" s="21">
        <f>Drivers!$D$32</f>
        <v/>
      </c>
      <c r="E8" s="21">
        <f>Drivers!$E$32</f>
        <v/>
      </c>
      <c r="F8" s="21">
        <f>Drivers!$F$32</f>
        <v/>
      </c>
      <c r="G8" s="21">
        <f>Drivers!$G$32</f>
        <v/>
      </c>
    </row>
    <row r="9">
      <c r="A9" s="6" t="inlineStr">
        <is>
          <t xml:space="preserve">  Fixed broadband</t>
        </is>
      </c>
      <c r="B9" s="21">
        <f>Drivers!$B$33</f>
        <v/>
      </c>
      <c r="C9" s="21">
        <f>Drivers!$C$33</f>
        <v/>
      </c>
      <c r="D9" s="21">
        <f>Drivers!$D$33</f>
        <v/>
      </c>
      <c r="E9" s="21">
        <f>Drivers!$E$33</f>
        <v/>
      </c>
      <c r="F9" s="21">
        <f>Drivers!$F$33</f>
        <v/>
      </c>
      <c r="G9" s="21">
        <f>Drivers!$G$33</f>
        <v/>
      </c>
    </row>
    <row r="10">
      <c r="A10" s="6" t="inlineStr">
        <is>
          <t xml:space="preserve">  B2B connectivity</t>
        </is>
      </c>
      <c r="B10" s="21">
        <f>Drivers!$B$34</f>
        <v/>
      </c>
      <c r="C10" s="21">
        <f>Drivers!$C$34</f>
        <v/>
      </c>
      <c r="D10" s="21">
        <f>Drivers!$D$34</f>
        <v/>
      </c>
      <c r="E10" s="21">
        <f>Drivers!$E$34</f>
        <v/>
      </c>
      <c r="F10" s="21">
        <f>Drivers!$F$34</f>
        <v/>
      </c>
      <c r="G10" s="21">
        <f>Drivers!$G$34</f>
        <v/>
      </c>
    </row>
    <row r="11">
      <c r="A11" s="6" t="inlineStr">
        <is>
          <t xml:space="preserve">  ICT / cloud</t>
        </is>
      </c>
      <c r="B11" s="21">
        <f>Drivers!$B$35</f>
        <v/>
      </c>
      <c r="C11" s="21">
        <f>Drivers!$C$35</f>
        <v/>
      </c>
      <c r="D11" s="21">
        <f>Drivers!$D$35</f>
        <v/>
      </c>
      <c r="E11" s="21">
        <f>Drivers!$E$35</f>
        <v/>
      </c>
      <c r="F11" s="21">
        <f>Drivers!$F$35</f>
        <v/>
      </c>
      <c r="G11" s="21">
        <f>Drivers!$G$35</f>
        <v/>
      </c>
    </row>
    <row r="12">
      <c r="A12" s="6" t="inlineStr">
        <is>
          <t xml:space="preserve">  Wholesale</t>
        </is>
      </c>
      <c r="B12" s="21">
        <f>Drivers!$B$36</f>
        <v/>
      </c>
      <c r="C12" s="21">
        <f>Drivers!$C$36</f>
        <v/>
      </c>
      <c r="D12" s="21">
        <f>Drivers!$D$36</f>
        <v/>
      </c>
      <c r="E12" s="21">
        <f>Drivers!$E$36</f>
        <v/>
      </c>
      <c r="F12" s="21">
        <f>Drivers!$F$36</f>
        <v/>
      </c>
      <c r="G12" s="21">
        <f>Drivers!$G$36</f>
        <v/>
      </c>
    </row>
    <row r="13">
      <c r="A13" s="6" t="inlineStr">
        <is>
          <t xml:space="preserve">  Equipment</t>
        </is>
      </c>
      <c r="B13" s="21">
        <f>Drivers!$B$39</f>
        <v/>
      </c>
      <c r="C13" s="21">
        <f>Drivers!$C$39</f>
        <v/>
      </c>
      <c r="D13" s="21">
        <f>Drivers!$D$39</f>
        <v/>
      </c>
      <c r="E13" s="21">
        <f>Drivers!$E$39</f>
        <v/>
      </c>
      <c r="F13" s="21">
        <f>Drivers!$F$39</f>
        <v/>
      </c>
      <c r="G13" s="21">
        <f>Drivers!$G$39</f>
        <v/>
      </c>
    </row>
    <row r="14">
      <c r="A14" s="5" t="inlineStr">
        <is>
          <t>Total service revenue</t>
        </is>
      </c>
      <c r="B14" s="24">
        <f>B7+B8+B9+B10+B11+B12</f>
        <v/>
      </c>
      <c r="C14" s="24">
        <f>C7+C8+C9+C10+C11+C12</f>
        <v/>
      </c>
      <c r="D14" s="24">
        <f>D7+D8+D9+D10+D11+D12</f>
        <v/>
      </c>
      <c r="E14" s="24">
        <f>E7+E8+E9+E10+E11+E12</f>
        <v/>
      </c>
      <c r="F14" s="24">
        <f>F7+F8+F9+F10+F11+F12</f>
        <v/>
      </c>
      <c r="G14" s="24">
        <f>G7+G8+G9+G10+G11+G12</f>
        <v/>
      </c>
    </row>
    <row r="15">
      <c r="A15" s="18" t="inlineStr">
        <is>
          <t>Total revenue (incl. equipment)</t>
        </is>
      </c>
      <c r="B15" s="22">
        <f>B7+B8+B9+B10+B11+B12+B13</f>
        <v/>
      </c>
      <c r="C15" s="22">
        <f>C7+C8+C9+C10+C11+C12+C13</f>
        <v/>
      </c>
      <c r="D15" s="22">
        <f>D7+D8+D9+D10+D11+D12+D13</f>
        <v/>
      </c>
      <c r="E15" s="22">
        <f>E7+E8+E9+E10+E11+E12+E13</f>
        <v/>
      </c>
      <c r="F15" s="22">
        <f>F7+F8+F9+F10+F11+F12+F13</f>
        <v/>
      </c>
      <c r="G15" s="22">
        <f>G7+G8+G9+G10+G11+G12+G13</f>
        <v/>
      </c>
    </row>
    <row r="17">
      <c r="A17" s="3" t="inlineStr">
        <is>
          <t>DIRECT COSTS  (= revenue × (1 − CM%))</t>
        </is>
      </c>
    </row>
    <row r="18">
      <c r="A18" s="6" t="inlineStr">
        <is>
          <t xml:space="preserve">  Mobile postpaid</t>
        </is>
      </c>
      <c r="B18" s="21">
        <f>-B7*(1-Assumptions!$B$70)</f>
        <v/>
      </c>
      <c r="C18" s="21">
        <f>-C7*(1-Assumptions!$B$70)</f>
        <v/>
      </c>
      <c r="D18" s="21">
        <f>-D7*(1-Assumptions!$B$70)</f>
        <v/>
      </c>
      <c r="E18" s="21">
        <f>-E7*(1-Assumptions!$B$70)</f>
        <v/>
      </c>
      <c r="F18" s="21">
        <f>-F7*(1-Assumptions!$B$70)</f>
        <v/>
      </c>
      <c r="G18" s="21">
        <f>-G7*(1-Assumptions!$B$70)</f>
        <v/>
      </c>
    </row>
    <row r="19">
      <c r="A19" s="6" t="inlineStr">
        <is>
          <t xml:space="preserve">  Mobile prepaid</t>
        </is>
      </c>
      <c r="B19" s="21">
        <f>-B8*(1-Assumptions!$B$78)</f>
        <v/>
      </c>
      <c r="C19" s="21">
        <f>-C8*(1-Assumptions!$B$78)</f>
        <v/>
      </c>
      <c r="D19" s="21">
        <f>-D8*(1-Assumptions!$B$78)</f>
        <v/>
      </c>
      <c r="E19" s="21">
        <f>-E8*(1-Assumptions!$B$78)</f>
        <v/>
      </c>
      <c r="F19" s="21">
        <f>-F8*(1-Assumptions!$B$78)</f>
        <v/>
      </c>
      <c r="G19" s="21">
        <f>-G8*(1-Assumptions!$B$78)</f>
        <v/>
      </c>
    </row>
    <row r="20">
      <c r="A20" s="6" t="inlineStr">
        <is>
          <t xml:space="preserve">  Fixed broadband</t>
        </is>
      </c>
      <c r="B20" s="21">
        <f>-B9*(1-Assumptions!$B$86)</f>
        <v/>
      </c>
      <c r="C20" s="21">
        <f>-C9*(1-Assumptions!$B$86)</f>
        <v/>
      </c>
      <c r="D20" s="21">
        <f>-D9*(1-Assumptions!$B$86)</f>
        <v/>
      </c>
      <c r="E20" s="21">
        <f>-E9*(1-Assumptions!$B$86)</f>
        <v/>
      </c>
      <c r="F20" s="21">
        <f>-F9*(1-Assumptions!$B$86)</f>
        <v/>
      </c>
      <c r="G20" s="21">
        <f>-G9*(1-Assumptions!$B$86)</f>
        <v/>
      </c>
    </row>
    <row r="21">
      <c r="A21" s="6" t="inlineStr">
        <is>
          <t xml:space="preserve">  B2B connectivity</t>
        </is>
      </c>
      <c r="B21" s="21">
        <f>-B10*(1-Assumptions!$B$91)</f>
        <v/>
      </c>
      <c r="C21" s="21">
        <f>-C10*(1-Assumptions!$B$91)</f>
        <v/>
      </c>
      <c r="D21" s="21">
        <f>-D10*(1-Assumptions!$B$91)</f>
        <v/>
      </c>
      <c r="E21" s="21">
        <f>-E10*(1-Assumptions!$B$91)</f>
        <v/>
      </c>
      <c r="F21" s="21">
        <f>-F10*(1-Assumptions!$B$91)</f>
        <v/>
      </c>
      <c r="G21" s="21">
        <f>-G10*(1-Assumptions!$B$91)</f>
        <v/>
      </c>
    </row>
    <row r="22">
      <c r="A22" s="6" t="inlineStr">
        <is>
          <t xml:space="preserve">  ICT / cloud</t>
        </is>
      </c>
      <c r="B22" s="21">
        <f>-B11*(1-Assumptions!$B$96)</f>
        <v/>
      </c>
      <c r="C22" s="21">
        <f>-C11*(1-Assumptions!$B$96)</f>
        <v/>
      </c>
      <c r="D22" s="21">
        <f>-D11*(1-Assumptions!$B$96)</f>
        <v/>
      </c>
      <c r="E22" s="21">
        <f>-E11*(1-Assumptions!$B$96)</f>
        <v/>
      </c>
      <c r="F22" s="21">
        <f>-F11*(1-Assumptions!$B$96)</f>
        <v/>
      </c>
      <c r="G22" s="21">
        <f>-G11*(1-Assumptions!$B$96)</f>
        <v/>
      </c>
    </row>
    <row r="23">
      <c r="A23" s="6" t="inlineStr">
        <is>
          <t xml:space="preserve">  Wholesale</t>
        </is>
      </c>
      <c r="B23" s="21">
        <f>-B12*(1-Assumptions!$B$101)</f>
        <v/>
      </c>
      <c r="C23" s="21">
        <f>-C12*(1-Assumptions!$B$101)</f>
        <v/>
      </c>
      <c r="D23" s="21">
        <f>-D12*(1-Assumptions!$B$101)</f>
        <v/>
      </c>
      <c r="E23" s="21">
        <f>-E12*(1-Assumptions!$B$101)</f>
        <v/>
      </c>
      <c r="F23" s="21">
        <f>-F12*(1-Assumptions!$B$101)</f>
        <v/>
      </c>
      <c r="G23" s="21">
        <f>-G12*(1-Assumptions!$B$101)</f>
        <v/>
      </c>
    </row>
    <row r="24">
      <c r="A24" s="6" t="inlineStr">
        <is>
          <t xml:space="preserve">  Equipment</t>
        </is>
      </c>
      <c r="B24" s="21">
        <f>-B13*(1-Assumptions!$B$106)</f>
        <v/>
      </c>
      <c r="C24" s="21">
        <f>-C13*(1-Assumptions!$B$106)</f>
        <v/>
      </c>
      <c r="D24" s="21">
        <f>-D13*(1-Assumptions!$B$106)</f>
        <v/>
      </c>
      <c r="E24" s="21">
        <f>-E13*(1-Assumptions!$B$106)</f>
        <v/>
      </c>
      <c r="F24" s="21">
        <f>-F13*(1-Assumptions!$B$106)</f>
        <v/>
      </c>
      <c r="G24" s="21">
        <f>-G13*(1-Assumptions!$B$106)</f>
        <v/>
      </c>
    </row>
    <row r="25">
      <c r="A25" s="5" t="inlineStr">
        <is>
          <t>Total direct costs</t>
        </is>
      </c>
      <c r="B25" s="24">
        <f>B18+B19+B20+B21+B22+B23+B24</f>
        <v/>
      </c>
      <c r="C25" s="24">
        <f>C18+C19+C20+C21+C22+C23+C24</f>
        <v/>
      </c>
      <c r="D25" s="24">
        <f>D18+D19+D20+D21+D22+D23+D24</f>
        <v/>
      </c>
      <c r="E25" s="24">
        <f>E18+E19+E20+E21+E22+E23+E24</f>
        <v/>
      </c>
      <c r="F25" s="24">
        <f>F18+F19+F20+F21+F22+F23+F24</f>
        <v/>
      </c>
      <c r="G25" s="24">
        <f>G18+G19+G20+G21+G22+G23+G24</f>
        <v/>
      </c>
    </row>
    <row r="27">
      <c r="A27" s="3" t="inlineStr">
        <is>
          <t>SEGMENT CONTRIBUTION</t>
        </is>
      </c>
    </row>
    <row r="28">
      <c r="A28" s="6" t="inlineStr">
        <is>
          <t xml:space="preserve">  Mobile postpaid</t>
        </is>
      </c>
      <c r="B28" s="21">
        <f>B7+B18</f>
        <v/>
      </c>
      <c r="C28" s="21">
        <f>C7+C18</f>
        <v/>
      </c>
      <c r="D28" s="21">
        <f>D7+D18</f>
        <v/>
      </c>
      <c r="E28" s="21">
        <f>E7+E18</f>
        <v/>
      </c>
      <c r="F28" s="21">
        <f>F7+F18</f>
        <v/>
      </c>
      <c r="G28" s="21">
        <f>G7+G18</f>
        <v/>
      </c>
    </row>
    <row r="29">
      <c r="A29" s="6" t="inlineStr">
        <is>
          <t xml:space="preserve">  Mobile prepaid</t>
        </is>
      </c>
      <c r="B29" s="21">
        <f>B8+B19</f>
        <v/>
      </c>
      <c r="C29" s="21">
        <f>C8+C19</f>
        <v/>
      </c>
      <c r="D29" s="21">
        <f>D8+D19</f>
        <v/>
      </c>
      <c r="E29" s="21">
        <f>E8+E19</f>
        <v/>
      </c>
      <c r="F29" s="21">
        <f>F8+F19</f>
        <v/>
      </c>
      <c r="G29" s="21">
        <f>G8+G19</f>
        <v/>
      </c>
    </row>
    <row r="30">
      <c r="A30" s="6" t="inlineStr">
        <is>
          <t xml:space="preserve">  Fixed broadband</t>
        </is>
      </c>
      <c r="B30" s="21">
        <f>B9+B20</f>
        <v/>
      </c>
      <c r="C30" s="21">
        <f>C9+C20</f>
        <v/>
      </c>
      <c r="D30" s="21">
        <f>D9+D20</f>
        <v/>
      </c>
      <c r="E30" s="21">
        <f>E9+E20</f>
        <v/>
      </c>
      <c r="F30" s="21">
        <f>F9+F20</f>
        <v/>
      </c>
      <c r="G30" s="21">
        <f>G9+G20</f>
        <v/>
      </c>
    </row>
    <row r="31">
      <c r="A31" s="6" t="inlineStr">
        <is>
          <t xml:space="preserve">  B2B connectivity</t>
        </is>
      </c>
      <c r="B31" s="21">
        <f>B10+B21</f>
        <v/>
      </c>
      <c r="C31" s="21">
        <f>C10+C21</f>
        <v/>
      </c>
      <c r="D31" s="21">
        <f>D10+D21</f>
        <v/>
      </c>
      <c r="E31" s="21">
        <f>E10+E21</f>
        <v/>
      </c>
      <c r="F31" s="21">
        <f>F10+F21</f>
        <v/>
      </c>
      <c r="G31" s="21">
        <f>G10+G21</f>
        <v/>
      </c>
    </row>
    <row r="32">
      <c r="A32" s="6" t="inlineStr">
        <is>
          <t xml:space="preserve">  ICT / cloud</t>
        </is>
      </c>
      <c r="B32" s="21">
        <f>B11+B22</f>
        <v/>
      </c>
      <c r="C32" s="21">
        <f>C11+C22</f>
        <v/>
      </c>
      <c r="D32" s="21">
        <f>D11+D22</f>
        <v/>
      </c>
      <c r="E32" s="21">
        <f>E11+E22</f>
        <v/>
      </c>
      <c r="F32" s="21">
        <f>F11+F22</f>
        <v/>
      </c>
      <c r="G32" s="21">
        <f>G11+G22</f>
        <v/>
      </c>
    </row>
    <row r="33">
      <c r="A33" s="6" t="inlineStr">
        <is>
          <t xml:space="preserve">  Wholesale</t>
        </is>
      </c>
      <c r="B33" s="21">
        <f>B12+B23</f>
        <v/>
      </c>
      <c r="C33" s="21">
        <f>C12+C23</f>
        <v/>
      </c>
      <c r="D33" s="21">
        <f>D12+D23</f>
        <v/>
      </c>
      <c r="E33" s="21">
        <f>E12+E23</f>
        <v/>
      </c>
      <c r="F33" s="21">
        <f>F12+F23</f>
        <v/>
      </c>
      <c r="G33" s="21">
        <f>G12+G23</f>
        <v/>
      </c>
    </row>
    <row r="34">
      <c r="A34" s="6" t="inlineStr">
        <is>
          <t xml:space="preserve">  Equipment</t>
        </is>
      </c>
      <c r="B34" s="21">
        <f>B13+B24</f>
        <v/>
      </c>
      <c r="C34" s="21">
        <f>C13+C24</f>
        <v/>
      </c>
      <c r="D34" s="21">
        <f>D13+D24</f>
        <v/>
      </c>
      <c r="E34" s="21">
        <f>E13+E24</f>
        <v/>
      </c>
      <c r="F34" s="21">
        <f>F13+F24</f>
        <v/>
      </c>
      <c r="G34" s="21">
        <f>G13+G24</f>
        <v/>
      </c>
    </row>
    <row r="35">
      <c r="A35" s="18" t="inlineStr">
        <is>
          <t>Aggregate segment contribution</t>
        </is>
      </c>
      <c r="B35" s="22">
        <f>B28+B29+B30+B31+B32+B33+B34</f>
        <v/>
      </c>
      <c r="C35" s="22">
        <f>C28+C29+C30+C31+C32+C33+C34</f>
        <v/>
      </c>
      <c r="D35" s="22">
        <f>D28+D29+D30+D31+D32+D33+D34</f>
        <v/>
      </c>
      <c r="E35" s="22">
        <f>E28+E29+E30+E31+E32+E33+E34</f>
        <v/>
      </c>
      <c r="F35" s="22">
        <f>F28+F29+F30+F31+F32+F33+F34</f>
        <v/>
      </c>
      <c r="G35" s="22">
        <f>G28+G29+G30+G31+G32+G33+G34</f>
        <v/>
      </c>
    </row>
    <row r="37">
      <c r="A37" s="3" t="inlineStr">
        <is>
          <t>CONTRIBUTION MARGIN %</t>
        </is>
      </c>
    </row>
    <row r="38">
      <c r="A38" s="6" t="inlineStr">
        <is>
          <t xml:space="preserve">  Mobile postpaid</t>
        </is>
      </c>
      <c r="B38" s="23">
        <f>IF(B7=0,0,B28/B7)</f>
        <v/>
      </c>
      <c r="C38" s="23">
        <f>IF(C7=0,0,C28/C7)</f>
        <v/>
      </c>
      <c r="D38" s="23">
        <f>IF(D7=0,0,D28/D7)</f>
        <v/>
      </c>
      <c r="E38" s="23">
        <f>IF(E7=0,0,E28/E7)</f>
        <v/>
      </c>
      <c r="F38" s="23">
        <f>IF(F7=0,0,F28/F7)</f>
        <v/>
      </c>
      <c r="G38" s="23">
        <f>IF(G7=0,0,G28/G7)</f>
        <v/>
      </c>
    </row>
    <row r="39">
      <c r="A39" s="6" t="inlineStr">
        <is>
          <t xml:space="preserve">  Mobile prepaid</t>
        </is>
      </c>
      <c r="B39" s="23">
        <f>IF(B8=0,0,B29/B8)</f>
        <v/>
      </c>
      <c r="C39" s="23">
        <f>IF(C8=0,0,C29/C8)</f>
        <v/>
      </c>
      <c r="D39" s="23">
        <f>IF(D8=0,0,D29/D8)</f>
        <v/>
      </c>
      <c r="E39" s="23">
        <f>IF(E8=0,0,E29/E8)</f>
        <v/>
      </c>
      <c r="F39" s="23">
        <f>IF(F8=0,0,F29/F8)</f>
        <v/>
      </c>
      <c r="G39" s="23">
        <f>IF(G8=0,0,G29/G8)</f>
        <v/>
      </c>
    </row>
    <row r="40">
      <c r="A40" s="6" t="inlineStr">
        <is>
          <t xml:space="preserve">  Fixed broadband</t>
        </is>
      </c>
      <c r="B40" s="23">
        <f>IF(B9=0,0,B30/B9)</f>
        <v/>
      </c>
      <c r="C40" s="23">
        <f>IF(C9=0,0,C30/C9)</f>
        <v/>
      </c>
      <c r="D40" s="23">
        <f>IF(D9=0,0,D30/D9)</f>
        <v/>
      </c>
      <c r="E40" s="23">
        <f>IF(E9=0,0,E30/E9)</f>
        <v/>
      </c>
      <c r="F40" s="23">
        <f>IF(F9=0,0,F30/F9)</f>
        <v/>
      </c>
      <c r="G40" s="23">
        <f>IF(G9=0,0,G30/G9)</f>
        <v/>
      </c>
    </row>
    <row r="41">
      <c r="A41" s="6" t="inlineStr">
        <is>
          <t xml:space="preserve">  B2B connectivity</t>
        </is>
      </c>
      <c r="B41" s="23">
        <f>IF(B10=0,0,B31/B10)</f>
        <v/>
      </c>
      <c r="C41" s="23">
        <f>IF(C10=0,0,C31/C10)</f>
        <v/>
      </c>
      <c r="D41" s="23">
        <f>IF(D10=0,0,D31/D10)</f>
        <v/>
      </c>
      <c r="E41" s="23">
        <f>IF(E10=0,0,E31/E10)</f>
        <v/>
      </c>
      <c r="F41" s="23">
        <f>IF(F10=0,0,F31/F10)</f>
        <v/>
      </c>
      <c r="G41" s="23">
        <f>IF(G10=0,0,G31/G10)</f>
        <v/>
      </c>
    </row>
    <row r="42">
      <c r="A42" s="6" t="inlineStr">
        <is>
          <t xml:space="preserve">  ICT / cloud</t>
        </is>
      </c>
      <c r="B42" s="23">
        <f>IF(B11=0,0,B32/B11)</f>
        <v/>
      </c>
      <c r="C42" s="23">
        <f>IF(C11=0,0,C32/C11)</f>
        <v/>
      </c>
      <c r="D42" s="23">
        <f>IF(D11=0,0,D32/D11)</f>
        <v/>
      </c>
      <c r="E42" s="23">
        <f>IF(E11=0,0,E32/E11)</f>
        <v/>
      </c>
      <c r="F42" s="23">
        <f>IF(F11=0,0,F32/F11)</f>
        <v/>
      </c>
      <c r="G42" s="23">
        <f>IF(G11=0,0,G32/G11)</f>
        <v/>
      </c>
    </row>
    <row r="43">
      <c r="A43" s="6" t="inlineStr">
        <is>
          <t xml:space="preserve">  Wholesale</t>
        </is>
      </c>
      <c r="B43" s="23">
        <f>IF(B12=0,0,B33/B12)</f>
        <v/>
      </c>
      <c r="C43" s="23">
        <f>IF(C12=0,0,C33/C12)</f>
        <v/>
      </c>
      <c r="D43" s="23">
        <f>IF(D12=0,0,D33/D12)</f>
        <v/>
      </c>
      <c r="E43" s="23">
        <f>IF(E12=0,0,E33/E12)</f>
        <v/>
      </c>
      <c r="F43" s="23">
        <f>IF(F12=0,0,F33/F12)</f>
        <v/>
      </c>
      <c r="G43" s="23">
        <f>IF(G12=0,0,G33/G12)</f>
        <v/>
      </c>
    </row>
    <row r="44">
      <c r="A44" s="6" t="inlineStr">
        <is>
          <t xml:space="preserve">  Equipment</t>
        </is>
      </c>
      <c r="B44" s="23">
        <f>IF(B13=0,0,B34/B13)</f>
        <v/>
      </c>
      <c r="C44" s="23">
        <f>IF(C13=0,0,C34/C13)</f>
        <v/>
      </c>
      <c r="D44" s="23">
        <f>IF(D13=0,0,D34/D13)</f>
        <v/>
      </c>
      <c r="E44" s="23">
        <f>IF(E13=0,0,E34/E13)</f>
        <v/>
      </c>
      <c r="F44" s="23">
        <f>IF(F13=0,0,F34/F13)</f>
        <v/>
      </c>
      <c r="G44" s="23">
        <f>IF(G13=0,0,G34/G13)</f>
        <v/>
      </c>
    </row>
    <row r="45">
      <c r="A45" s="5" t="inlineStr">
        <is>
          <t>Blended CM %</t>
        </is>
      </c>
      <c r="B45" s="26">
        <f>B35/B15</f>
        <v/>
      </c>
      <c r="C45" s="26">
        <f>C35/C15</f>
        <v/>
      </c>
      <c r="D45" s="26">
        <f>D35/D15</f>
        <v/>
      </c>
      <c r="E45" s="26">
        <f>E35/E15</f>
        <v/>
      </c>
      <c r="F45" s="26">
        <f>F35/F15</f>
        <v/>
      </c>
      <c r="G45" s="26">
        <f>G35/G15</f>
        <v/>
      </c>
    </row>
    <row r="47">
      <c r="A47" s="3" t="inlineStr">
        <is>
          <t>RECONCILIATION TO GROUP EBITDA</t>
        </is>
      </c>
    </row>
    <row r="48">
      <c r="A48" s="6" t="inlineStr">
        <is>
          <t>Aggregate segment contribution</t>
        </is>
      </c>
      <c r="C48" s="21">
        <f>C35</f>
        <v/>
      </c>
      <c r="D48" s="21">
        <f>D35</f>
        <v/>
      </c>
      <c r="E48" s="21">
        <f>E35</f>
        <v/>
      </c>
      <c r="F48" s="21">
        <f>F35</f>
        <v/>
      </c>
      <c r="G48" s="21">
        <f>G35</f>
        <v/>
      </c>
    </row>
    <row r="49">
      <c r="A49" s="6" t="inlineStr">
        <is>
          <t>− IS EBITDA (group)</t>
        </is>
      </c>
      <c r="C49" s="21">
        <f>-IS!$C$28</f>
        <v/>
      </c>
      <c r="D49" s="21">
        <f>-IS!$D$28</f>
        <v/>
      </c>
      <c r="E49" s="21">
        <f>-IS!$E$28</f>
        <v/>
      </c>
      <c r="F49" s="21">
        <f>-IS!$F$28</f>
        <v/>
      </c>
      <c r="G49" s="21">
        <f>-IS!$G$28</f>
        <v/>
      </c>
    </row>
    <row r="50">
      <c r="A50" s="18">
        <f> Unallocated / shared overhead</f>
        <v/>
      </c>
      <c r="C50" s="22">
        <f>C48+C49</f>
        <v/>
      </c>
      <c r="D50" s="22">
        <f>D48+D49</f>
        <v/>
      </c>
      <c r="E50" s="22">
        <f>E48+E49</f>
        <v/>
      </c>
      <c r="F50" s="22">
        <f>F48+F49</f>
        <v/>
      </c>
      <c r="G50" s="22">
        <f>G48+G49</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EQUITY ROLLFORWARD</t>
        </is>
      </c>
    </row>
    <row r="2">
      <c r="A2" s="2" t="inlineStr">
        <is>
          <t>Closing equity = opening + net income − dividends + OCI movements. Drives BS equity section.</t>
        </is>
      </c>
    </row>
    <row r="4">
      <c r="A4" s="14" t="n"/>
      <c r="B4" s="15" t="inlineStr">
        <is>
          <t>Y0 (base)</t>
        </is>
      </c>
      <c r="C4" s="15" t="inlineStr">
        <is>
          <t>Y1</t>
        </is>
      </c>
      <c r="D4" s="15" t="inlineStr">
        <is>
          <t>Y2</t>
        </is>
      </c>
      <c r="E4" s="15" t="inlineStr">
        <is>
          <t>Y3</t>
        </is>
      </c>
      <c r="F4" s="15" t="inlineStr">
        <is>
          <t>Y4</t>
        </is>
      </c>
      <c r="G4" s="15" t="inlineStr">
        <is>
          <t>Y5</t>
        </is>
      </c>
    </row>
    <row r="6">
      <c r="A6" s="6" t="inlineStr">
        <is>
          <t>Share capital</t>
        </is>
      </c>
      <c r="B6" s="21">
        <f>Assumptions!$B$56</f>
        <v/>
      </c>
      <c r="C6" s="21">
        <f>B6</f>
        <v/>
      </c>
      <c r="D6" s="21">
        <f>C6</f>
        <v/>
      </c>
      <c r="E6" s="21">
        <f>D6</f>
        <v/>
      </c>
      <c r="F6" s="21">
        <f>E6</f>
        <v/>
      </c>
      <c r="G6" s="21">
        <f>F6</f>
        <v/>
      </c>
    </row>
    <row r="7">
      <c r="A7" s="6" t="inlineStr">
        <is>
          <t>Opening retained earnings</t>
        </is>
      </c>
      <c r="B7" s="16" t="inlineStr">
        <is>
          <t>""</t>
        </is>
      </c>
      <c r="C7" s="21">
        <f>Assumptions!$B$57</f>
        <v/>
      </c>
      <c r="D7" s="21">
        <f>C10</f>
        <v/>
      </c>
      <c r="E7" s="21">
        <f>D10</f>
        <v/>
      </c>
      <c r="F7" s="21">
        <f>E10</f>
        <v/>
      </c>
      <c r="G7" s="21">
        <f>F10</f>
        <v/>
      </c>
    </row>
    <row r="8">
      <c r="A8" s="6" t="inlineStr">
        <is>
          <t>+ Net income for period</t>
        </is>
      </c>
      <c r="B8" s="16" t="inlineStr">
        <is>
          <t>""</t>
        </is>
      </c>
      <c r="C8" s="21">
        <f>IS!$C$40</f>
        <v/>
      </c>
      <c r="D8" s="21">
        <f>IS!$D$40</f>
        <v/>
      </c>
      <c r="E8" s="21">
        <f>IS!$E$40</f>
        <v/>
      </c>
      <c r="F8" s="21">
        <f>IS!$F$40</f>
        <v/>
      </c>
      <c r="G8" s="21">
        <f>IS!$G$40</f>
        <v/>
      </c>
    </row>
    <row r="9">
      <c r="A9" s="6" t="inlineStr">
        <is>
          <t>− Dividends paid</t>
        </is>
      </c>
      <c r="B9" s="16" t="inlineStr">
        <is>
          <t>""</t>
        </is>
      </c>
      <c r="C9" s="21">
        <f>-Assumptions!$B$24*IS!$C$40</f>
        <v/>
      </c>
      <c r="D9" s="21">
        <f>-Assumptions!$B$24*IS!$D$40</f>
        <v/>
      </c>
      <c r="E9" s="21">
        <f>-Assumptions!$B$24*IS!$E$40</f>
        <v/>
      </c>
      <c r="F9" s="21">
        <f>-Assumptions!$B$24*IS!$F$40</f>
        <v/>
      </c>
      <c r="G9" s="21">
        <f>-Assumptions!$B$24*IS!$G$40</f>
        <v/>
      </c>
    </row>
    <row r="10">
      <c r="A10" s="18" t="inlineStr">
        <is>
          <t>Closing retained earnings</t>
        </is>
      </c>
      <c r="B10" s="22">
        <f>Assumptions!$B$57</f>
        <v/>
      </c>
      <c r="C10" s="22">
        <f>C7+C8+C9</f>
        <v/>
      </c>
      <c r="D10" s="22">
        <f>D7+D8+D9</f>
        <v/>
      </c>
      <c r="E10" s="22">
        <f>E7+E8+E9</f>
        <v/>
      </c>
      <c r="F10" s="22">
        <f>F7+F8+F9</f>
        <v/>
      </c>
      <c r="G10" s="22">
        <f>G7+G8+G9</f>
        <v/>
      </c>
    </row>
    <row r="12">
      <c r="A12" s="6" t="inlineStr">
        <is>
          <t>OCI reserve (held flat)</t>
        </is>
      </c>
      <c r="B12" s="21">
        <f>Assumptions!$B$58</f>
        <v/>
      </c>
      <c r="C12" s="21">
        <f>B12</f>
        <v/>
      </c>
      <c r="D12" s="21">
        <f>C12</f>
        <v/>
      </c>
      <c r="E12" s="21">
        <f>D12</f>
        <v/>
      </c>
      <c r="F12" s="21">
        <f>E12</f>
        <v/>
      </c>
      <c r="G12" s="21">
        <f>F12</f>
        <v/>
      </c>
    </row>
    <row r="13">
      <c r="A13" s="6" t="inlineStr">
        <is>
          <t>Minority interest (held flat)</t>
        </is>
      </c>
      <c r="B13" s="21">
        <f>Assumptions!$B$59</f>
        <v/>
      </c>
      <c r="C13" s="21">
        <f>B13</f>
        <v/>
      </c>
      <c r="D13" s="21">
        <f>C13</f>
        <v/>
      </c>
      <c r="E13" s="21">
        <f>D13</f>
        <v/>
      </c>
      <c r="F13" s="21">
        <f>E13</f>
        <v/>
      </c>
      <c r="G13" s="21">
        <f>F13</f>
        <v/>
      </c>
    </row>
    <row r="15">
      <c r="A15" s="18" t="inlineStr">
        <is>
          <t>TOTAL EQUITY</t>
        </is>
      </c>
      <c r="B15" s="22">
        <f>B6+B10+B12+B13</f>
        <v/>
      </c>
      <c r="C15" s="22">
        <f>C6+C10+C12+C13</f>
        <v/>
      </c>
      <c r="D15" s="22">
        <f>D6+D10+D12+D13</f>
        <v/>
      </c>
      <c r="E15" s="22">
        <f>E6+E10+E12+E13</f>
        <v/>
      </c>
      <c r="F15" s="22">
        <f>F6+F10+F12+F13</f>
        <v/>
      </c>
      <c r="G15" s="22">
        <f>G6+G10+G12+G13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BALANCE SHEET</t>
        </is>
      </c>
    </row>
    <row r="2">
      <c r="A2" s="2" t="inlineStr">
        <is>
          <t>All figures in SAR billion. Y0 opening + Y1-Y5 forecast. Must balance (see Checks).</t>
        </is>
      </c>
    </row>
    <row r="4">
      <c r="A4" s="14" t="n"/>
      <c r="B4" s="15" t="inlineStr">
        <is>
          <t>Y0 (base)</t>
        </is>
      </c>
      <c r="C4" s="15" t="inlineStr">
        <is>
          <t>Y1</t>
        </is>
      </c>
      <c r="D4" s="15" t="inlineStr">
        <is>
          <t>Y2</t>
        </is>
      </c>
      <c r="E4" s="15" t="inlineStr">
        <is>
          <t>Y3</t>
        </is>
      </c>
      <c r="F4" s="15" t="inlineStr">
        <is>
          <t>Y4</t>
        </is>
      </c>
      <c r="G4" s="15" t="inlineStr">
        <is>
          <t>Y5</t>
        </is>
      </c>
    </row>
    <row r="6">
      <c r="A6" s="3" t="inlineStr">
        <is>
          <t>ASSETS</t>
        </is>
      </c>
    </row>
    <row r="7">
      <c r="A7" s="6" t="inlineStr">
        <is>
          <t>Cash &amp; equivalents</t>
        </is>
      </c>
      <c r="B7" s="21">
        <f>Assumptions!$B$35</f>
        <v/>
      </c>
      <c r="C7" s="21">
        <f>B7+CFS!C26</f>
        <v/>
      </c>
      <c r="D7" s="21">
        <f>C7+CFS!D26</f>
        <v/>
      </c>
      <c r="E7" s="21">
        <f>D7+CFS!E26</f>
        <v/>
      </c>
      <c r="F7" s="21">
        <f>E7+CFS!F26</f>
        <v/>
      </c>
      <c r="G7" s="21">
        <f>F7+CFS!G26</f>
        <v/>
      </c>
    </row>
    <row r="8">
      <c r="A8" s="6" t="inlineStr">
        <is>
          <t>Accounts receivable</t>
        </is>
      </c>
      <c r="B8" s="21">
        <f>Assumptions!$B$36</f>
        <v/>
      </c>
      <c r="C8" s="21">
        <f>WC!$C$11</f>
        <v/>
      </c>
      <c r="D8" s="21">
        <f>WC!$D$11</f>
        <v/>
      </c>
      <c r="E8" s="21">
        <f>WC!$E$11</f>
        <v/>
      </c>
      <c r="F8" s="21">
        <f>WC!$F$11</f>
        <v/>
      </c>
      <c r="G8" s="21">
        <f>WC!$G$11</f>
        <v/>
      </c>
    </row>
    <row r="9">
      <c r="A9" s="6" t="inlineStr">
        <is>
          <t>Inventory</t>
        </is>
      </c>
      <c r="B9" s="21">
        <f>Assumptions!$B$37</f>
        <v/>
      </c>
      <c r="C9" s="21">
        <f>WC!$C$12</f>
        <v/>
      </c>
      <c r="D9" s="21">
        <f>WC!$D$12</f>
        <v/>
      </c>
      <c r="E9" s="21">
        <f>WC!$E$12</f>
        <v/>
      </c>
      <c r="F9" s="21">
        <f>WC!$F$12</f>
        <v/>
      </c>
      <c r="G9" s="21">
        <f>WC!$G$12</f>
        <v/>
      </c>
    </row>
    <row r="10">
      <c r="A10" s="6" t="inlineStr">
        <is>
          <t>Other current assets (flat)</t>
        </is>
      </c>
      <c r="B10" s="21">
        <f>Assumptions!$B$38</f>
        <v/>
      </c>
      <c r="C10" s="21">
        <f>B10</f>
        <v/>
      </c>
      <c r="D10" s="21">
        <f>C10</f>
        <v/>
      </c>
      <c r="E10" s="21">
        <f>D10</f>
        <v/>
      </c>
      <c r="F10" s="21">
        <f>E10</f>
        <v/>
      </c>
      <c r="G10" s="21">
        <f>F10</f>
        <v/>
      </c>
    </row>
    <row r="11">
      <c r="A11" s="5" t="inlineStr">
        <is>
          <t>Total current assets</t>
        </is>
      </c>
      <c r="B11" s="24">
        <f>B7+B8+B9+B10</f>
        <v/>
      </c>
      <c r="C11" s="24">
        <f>C7+C8+C9+C10</f>
        <v/>
      </c>
      <c r="D11" s="24">
        <f>D7+D8+D9+D10</f>
        <v/>
      </c>
      <c r="E11" s="24">
        <f>E7+E8+E9+E10</f>
        <v/>
      </c>
      <c r="F11" s="24">
        <f>F7+F8+F9+F10</f>
        <v/>
      </c>
      <c r="G11" s="24">
        <f>G7+G8+G9+G10</f>
        <v/>
      </c>
    </row>
    <row r="13">
      <c r="A13" s="6" t="inlineStr">
        <is>
          <t>Property, plant &amp; equipment</t>
        </is>
      </c>
      <c r="B13" s="21">
        <f>Assumptions!$B$39</f>
        <v/>
      </c>
      <c r="C13" s="21">
        <f>PPE!$C$40</f>
        <v/>
      </c>
      <c r="D13" s="21">
        <f>PPE!$D$40</f>
        <v/>
      </c>
      <c r="E13" s="21">
        <f>PPE!$E$40</f>
        <v/>
      </c>
      <c r="F13" s="21">
        <f>PPE!$F$40</f>
        <v/>
      </c>
      <c r="G13" s="21">
        <f>PPE!$G$40</f>
        <v/>
      </c>
    </row>
    <row r="14">
      <c r="A14" s="6" t="inlineStr">
        <is>
          <t>Right-of-use assets (IFRS 16)</t>
        </is>
      </c>
      <c r="B14" s="21">
        <f>Leases!$B$10</f>
        <v/>
      </c>
      <c r="C14" s="21">
        <f>Leases!$C$10</f>
        <v/>
      </c>
      <c r="D14" s="21">
        <f>Leases!$D$10</f>
        <v/>
      </c>
      <c r="E14" s="21">
        <f>Leases!$E$10</f>
        <v/>
      </c>
      <c r="F14" s="21">
        <f>Leases!$F$10</f>
        <v/>
      </c>
      <c r="G14" s="21">
        <f>Leases!$G$10</f>
        <v/>
      </c>
    </row>
    <row r="15">
      <c r="A15" s="6" t="inlineStr">
        <is>
          <t>Goodwill (flat)</t>
        </is>
      </c>
      <c r="B15" s="21">
        <f>Assumptions!$B$40</f>
        <v/>
      </c>
      <c r="C15" s="21">
        <f>B15</f>
        <v/>
      </c>
      <c r="D15" s="21">
        <f>C15</f>
        <v/>
      </c>
      <c r="E15" s="21">
        <f>D15</f>
        <v/>
      </c>
      <c r="F15" s="21">
        <f>E15</f>
        <v/>
      </c>
      <c r="G15" s="21">
        <f>F15</f>
        <v/>
      </c>
    </row>
    <row r="16">
      <c r="A16" s="6" t="inlineStr">
        <is>
          <t>Spectrum licenses</t>
        </is>
      </c>
      <c r="B16" s="21">
        <f>Assumptions!$B$124+Assumptions!$B$126</f>
        <v/>
      </c>
      <c r="C16" s="21">
        <f>Spectrum!$C$23</f>
        <v/>
      </c>
      <c r="D16" s="21">
        <f>Spectrum!$D$23</f>
        <v/>
      </c>
      <c r="E16" s="21">
        <f>Spectrum!$E$23</f>
        <v/>
      </c>
      <c r="F16" s="21">
        <f>Spectrum!$F$23</f>
        <v/>
      </c>
      <c r="G16" s="21">
        <f>Spectrum!$G$23</f>
        <v/>
      </c>
    </row>
    <row r="17">
      <c r="A17" s="6" t="inlineStr">
        <is>
          <t>Other intangibles (less amortisation)</t>
        </is>
      </c>
      <c r="B17" s="21">
        <f>Assumptions!$B$142</f>
        <v/>
      </c>
      <c r="C17" s="21">
        <f>B17-Assumptions!$B$118*IS!$C$14</f>
        <v/>
      </c>
      <c r="D17" s="21">
        <f>C17-Assumptions!$B$118*IS!$D$14</f>
        <v/>
      </c>
      <c r="E17" s="21">
        <f>D17-Assumptions!$B$118*IS!$E$14</f>
        <v/>
      </c>
      <c r="F17" s="21">
        <f>E17-Assumptions!$B$118*IS!$F$14</f>
        <v/>
      </c>
      <c r="G17" s="21">
        <f>F17-Assumptions!$B$118*IS!$G$14</f>
        <v/>
      </c>
    </row>
    <row r="18">
      <c r="A18" s="6" t="inlineStr">
        <is>
          <t>Investments / associates (flat)</t>
        </is>
      </c>
      <c r="B18" s="21">
        <f>Assumptions!$B$42</f>
        <v/>
      </c>
      <c r="C18" s="21">
        <f>B18</f>
        <v/>
      </c>
      <c r="D18" s="21">
        <f>C18</f>
        <v/>
      </c>
      <c r="E18" s="21">
        <f>D18</f>
        <v/>
      </c>
      <c r="F18" s="21">
        <f>E18</f>
        <v/>
      </c>
      <c r="G18" s="21">
        <f>F18</f>
        <v/>
      </c>
    </row>
    <row r="19">
      <c r="A19" s="6" t="inlineStr">
        <is>
          <t>Deferred tax assets (flat)</t>
        </is>
      </c>
      <c r="B19" s="21">
        <f>Assumptions!$B$43</f>
        <v/>
      </c>
      <c r="C19" s="21">
        <f>B19</f>
        <v/>
      </c>
      <c r="D19" s="21">
        <f>C19</f>
        <v/>
      </c>
      <c r="E19" s="21">
        <f>D19</f>
        <v/>
      </c>
      <c r="F19" s="21">
        <f>E19</f>
        <v/>
      </c>
      <c r="G19" s="21">
        <f>F19</f>
        <v/>
      </c>
    </row>
    <row r="20">
      <c r="A20" s="5" t="inlineStr">
        <is>
          <t>Total non-current assets</t>
        </is>
      </c>
      <c r="B20" s="24">
        <f>B13+B14+B15+B16+B17+B18+B19</f>
        <v/>
      </c>
      <c r="C20" s="24">
        <f>C13+C14+C15+C16+C17+C18+C19</f>
        <v/>
      </c>
      <c r="D20" s="24">
        <f>D13+D14+D15+D16+D17+D18+D19</f>
        <v/>
      </c>
      <c r="E20" s="24">
        <f>E13+E14+E15+E16+E17+E18+E19</f>
        <v/>
      </c>
      <c r="F20" s="24">
        <f>F13+F14+F15+F16+F17+F18+F19</f>
        <v/>
      </c>
      <c r="G20" s="24">
        <f>G13+G14+G15+G16+G17+G18+G19</f>
        <v/>
      </c>
    </row>
    <row r="22">
      <c r="A22" s="18" t="inlineStr">
        <is>
          <t>TOTAL ASSETS</t>
        </is>
      </c>
      <c r="B22" s="22">
        <f>B11+B20</f>
        <v/>
      </c>
      <c r="C22" s="22">
        <f>C11+C20</f>
        <v/>
      </c>
      <c r="D22" s="22">
        <f>D11+D20</f>
        <v/>
      </c>
      <c r="E22" s="22">
        <f>E11+E20</f>
        <v/>
      </c>
      <c r="F22" s="22">
        <f>F11+F20</f>
        <v/>
      </c>
      <c r="G22" s="22">
        <f>G11+G20</f>
        <v/>
      </c>
    </row>
    <row r="24">
      <c r="A24" s="3" t="inlineStr">
        <is>
          <t>LIABILITIES</t>
        </is>
      </c>
    </row>
    <row r="25">
      <c r="A25" s="6" t="inlineStr">
        <is>
          <t>Accounts payable</t>
        </is>
      </c>
      <c r="B25" s="21">
        <f>Assumptions!$B$46</f>
        <v/>
      </c>
      <c r="C25" s="21">
        <f>WC!$C$13</f>
        <v/>
      </c>
      <c r="D25" s="21">
        <f>WC!$D$13</f>
        <v/>
      </c>
      <c r="E25" s="21">
        <f>WC!$E$13</f>
        <v/>
      </c>
      <c r="F25" s="21">
        <f>WC!$F$13</f>
        <v/>
      </c>
      <c r="G25" s="21">
        <f>WC!$G$13</f>
        <v/>
      </c>
    </row>
    <row r="26">
      <c r="A26" s="6" t="inlineStr">
        <is>
          <t>Other current liabilities (flat)</t>
        </is>
      </c>
      <c r="B26" s="21">
        <f>Assumptions!$B$47</f>
        <v/>
      </c>
      <c r="C26" s="21">
        <f>B26</f>
        <v/>
      </c>
      <c r="D26" s="21">
        <f>C26</f>
        <v/>
      </c>
      <c r="E26" s="21">
        <f>D26</f>
        <v/>
      </c>
      <c r="F26" s="21">
        <f>E26</f>
        <v/>
      </c>
      <c r="G26" s="21">
        <f>F26</f>
        <v/>
      </c>
    </row>
    <row r="27">
      <c r="A27" s="6" t="inlineStr">
        <is>
          <t>Short-term debt</t>
        </is>
      </c>
      <c r="B27" s="21">
        <f>Debt!B35</f>
        <v/>
      </c>
      <c r="C27" s="21">
        <f>Debt!C35</f>
        <v/>
      </c>
      <c r="D27" s="21">
        <f>Debt!D35</f>
        <v/>
      </c>
      <c r="E27" s="21">
        <f>Debt!E35</f>
        <v/>
      </c>
      <c r="F27" s="21">
        <f>Debt!F35</f>
        <v/>
      </c>
      <c r="G27" s="21">
        <f>Debt!G35</f>
        <v/>
      </c>
    </row>
    <row r="28">
      <c r="A28" s="5" t="inlineStr">
        <is>
          <t>Total current liabilities</t>
        </is>
      </c>
      <c r="B28" s="24">
        <f>B25+B26+B27</f>
        <v/>
      </c>
      <c r="C28" s="24">
        <f>C25+C26+C27</f>
        <v/>
      </c>
      <c r="D28" s="24">
        <f>D25+D26+D27</f>
        <v/>
      </c>
      <c r="E28" s="24">
        <f>E25+E26+E27</f>
        <v/>
      </c>
      <c r="F28" s="24">
        <f>F25+F26+F27</f>
        <v/>
      </c>
      <c r="G28" s="24">
        <f>G25+G26+G27</f>
        <v/>
      </c>
    </row>
    <row r="30">
      <c r="A30" s="6" t="inlineStr">
        <is>
          <t>Long-term debt</t>
        </is>
      </c>
      <c r="B30" s="21">
        <f>Debt!B36</f>
        <v/>
      </c>
      <c r="C30" s="21">
        <f>Debt!C36</f>
        <v/>
      </c>
      <c r="D30" s="21">
        <f>Debt!D36</f>
        <v/>
      </c>
      <c r="E30" s="21">
        <f>Debt!E36</f>
        <v/>
      </c>
      <c r="F30" s="21">
        <f>Debt!F36</f>
        <v/>
      </c>
      <c r="G30" s="21">
        <f>Debt!G36</f>
        <v/>
      </c>
    </row>
    <row r="31">
      <c r="A31" s="6" t="inlineStr">
        <is>
          <t>Lease liabilities</t>
        </is>
      </c>
      <c r="B31" s="21">
        <f>Debt!B37</f>
        <v/>
      </c>
      <c r="C31" s="21">
        <f>Debt!C37</f>
        <v/>
      </c>
      <c r="D31" s="21">
        <f>Debt!D37</f>
        <v/>
      </c>
      <c r="E31" s="21">
        <f>Debt!E37</f>
        <v/>
      </c>
      <c r="F31" s="21">
        <f>Debt!F37</f>
        <v/>
      </c>
      <c r="G31" s="21">
        <f>Debt!G37</f>
        <v/>
      </c>
    </row>
    <row r="32">
      <c r="A32" s="6" t="inlineStr">
        <is>
          <t>Provisions (flat)</t>
        </is>
      </c>
      <c r="B32" s="21">
        <f>Assumptions!$B$51</f>
        <v/>
      </c>
      <c r="C32" s="21">
        <f>B32</f>
        <v/>
      </c>
      <c r="D32" s="21">
        <f>C32</f>
        <v/>
      </c>
      <c r="E32" s="21">
        <f>D32</f>
        <v/>
      </c>
      <c r="F32" s="21">
        <f>E32</f>
        <v/>
      </c>
      <c r="G32" s="21">
        <f>F32</f>
        <v/>
      </c>
    </row>
    <row r="33">
      <c r="A33" s="6" t="inlineStr">
        <is>
          <t>Deferred tax liabilities (rollforward)</t>
        </is>
      </c>
      <c r="B33" s="21">
        <f>Assumptions!$B$52</f>
        <v/>
      </c>
      <c r="C33" s="21">
        <f>Tax!$C$16</f>
        <v/>
      </c>
      <c r="D33" s="21">
        <f>Tax!$D$16</f>
        <v/>
      </c>
      <c r="E33" s="21">
        <f>Tax!$E$16</f>
        <v/>
      </c>
      <c r="F33" s="21">
        <f>Tax!$F$16</f>
        <v/>
      </c>
      <c r="G33" s="21">
        <f>Tax!$G$16</f>
        <v/>
      </c>
    </row>
    <row r="34">
      <c r="A34" s="6" t="inlineStr">
        <is>
          <t>Other non-current liabilities (flat)</t>
        </is>
      </c>
      <c r="B34" s="21">
        <f>Assumptions!$B$53</f>
        <v/>
      </c>
      <c r="C34" s="21">
        <f>B34</f>
        <v/>
      </c>
      <c r="D34" s="21">
        <f>C34</f>
        <v/>
      </c>
      <c r="E34" s="21">
        <f>D34</f>
        <v/>
      </c>
      <c r="F34" s="21">
        <f>E34</f>
        <v/>
      </c>
      <c r="G34" s="21">
        <f>F34</f>
        <v/>
      </c>
    </row>
    <row r="35">
      <c r="A35" s="5" t="inlineStr">
        <is>
          <t>Total non-current liabilities</t>
        </is>
      </c>
      <c r="B35" s="24">
        <f>B30+B31+B32+B33+B34</f>
        <v/>
      </c>
      <c r="C35" s="24">
        <f>C30+C31+C32+C33+C34</f>
        <v/>
      </c>
      <c r="D35" s="24">
        <f>D30+D31+D32+D33+D34</f>
        <v/>
      </c>
      <c r="E35" s="24">
        <f>E30+E31+E32+E33+E34</f>
        <v/>
      </c>
      <c r="F35" s="24">
        <f>F30+F31+F32+F33+F34</f>
        <v/>
      </c>
      <c r="G35" s="24">
        <f>G30+G31+G32+G33+G34</f>
        <v/>
      </c>
    </row>
    <row r="37">
      <c r="A37" s="18" t="inlineStr">
        <is>
          <t>TOTAL LIABILITIES</t>
        </is>
      </c>
      <c r="B37" s="22">
        <f>B28+B35</f>
        <v/>
      </c>
      <c r="C37" s="22">
        <f>C28+C35</f>
        <v/>
      </c>
      <c r="D37" s="22">
        <f>D28+D35</f>
        <v/>
      </c>
      <c r="E37" s="22">
        <f>E28+E35</f>
        <v/>
      </c>
      <c r="F37" s="22">
        <f>F28+F35</f>
        <v/>
      </c>
      <c r="G37" s="22">
        <f>G28+G35</f>
        <v/>
      </c>
    </row>
    <row r="39">
      <c r="A39" s="3" t="inlineStr">
        <is>
          <t>EQUITY</t>
        </is>
      </c>
    </row>
    <row r="40">
      <c r="A40" s="6" t="inlineStr">
        <is>
          <t>Share capital</t>
        </is>
      </c>
      <c r="B40" s="21">
        <f>Equity!$B$6</f>
        <v/>
      </c>
      <c r="C40" s="21">
        <f>Equity!$C$6</f>
        <v/>
      </c>
      <c r="D40" s="21">
        <f>Equity!$D$6</f>
        <v/>
      </c>
      <c r="E40" s="21">
        <f>Equity!$E$6</f>
        <v/>
      </c>
      <c r="F40" s="21">
        <f>Equity!$F$6</f>
        <v/>
      </c>
      <c r="G40" s="21">
        <f>Equity!$G$6</f>
        <v/>
      </c>
    </row>
    <row r="41">
      <c r="A41" s="6" t="inlineStr">
        <is>
          <t>Retained earnings</t>
        </is>
      </c>
      <c r="B41" s="21">
        <f>Equity!$B$10</f>
        <v/>
      </c>
      <c r="C41" s="21">
        <f>Equity!$C$10</f>
        <v/>
      </c>
      <c r="D41" s="21">
        <f>Equity!$D$10</f>
        <v/>
      </c>
      <c r="E41" s="21">
        <f>Equity!$E$10</f>
        <v/>
      </c>
      <c r="F41" s="21">
        <f>Equity!$F$10</f>
        <v/>
      </c>
      <c r="G41" s="21">
        <f>Equity!$G$10</f>
        <v/>
      </c>
    </row>
    <row r="42">
      <c r="A42" s="6" t="inlineStr">
        <is>
          <t>OCI reserve</t>
        </is>
      </c>
      <c r="B42" s="21">
        <f>Equity!$B$12</f>
        <v/>
      </c>
      <c r="C42" s="21">
        <f>Equity!$C$12</f>
        <v/>
      </c>
      <c r="D42" s="21">
        <f>Equity!$D$12</f>
        <v/>
      </c>
      <c r="E42" s="21">
        <f>Equity!$E$12</f>
        <v/>
      </c>
      <c r="F42" s="21">
        <f>Equity!$F$12</f>
        <v/>
      </c>
      <c r="G42" s="21">
        <f>Equity!$G$12</f>
        <v/>
      </c>
    </row>
    <row r="43">
      <c r="A43" s="6" t="inlineStr">
        <is>
          <t>Minority interest</t>
        </is>
      </c>
      <c r="B43" s="21">
        <f>Equity!$B$13</f>
        <v/>
      </c>
      <c r="C43" s="21">
        <f>Equity!$C$13</f>
        <v/>
      </c>
      <c r="D43" s="21">
        <f>Equity!$D$13</f>
        <v/>
      </c>
      <c r="E43" s="21">
        <f>Equity!$E$13</f>
        <v/>
      </c>
      <c r="F43" s="21">
        <f>Equity!$F$13</f>
        <v/>
      </c>
      <c r="G43" s="21">
        <f>Equity!$G$13</f>
        <v/>
      </c>
    </row>
    <row r="44">
      <c r="A44" s="18" t="inlineStr">
        <is>
          <t>TOTAL EQUITY</t>
        </is>
      </c>
      <c r="B44" s="22">
        <f>Equity!$B$15</f>
        <v/>
      </c>
      <c r="C44" s="22">
        <f>Equity!$C$15</f>
        <v/>
      </c>
      <c r="D44" s="22">
        <f>Equity!$D$15</f>
        <v/>
      </c>
      <c r="E44" s="22">
        <f>Equity!$E$15</f>
        <v/>
      </c>
      <c r="F44" s="22">
        <f>Equity!$F$15</f>
        <v/>
      </c>
      <c r="G44" s="22">
        <f>Equity!$G$15</f>
        <v/>
      </c>
    </row>
    <row r="46">
      <c r="A46" s="5" t="inlineStr">
        <is>
          <t>Balance check (A − L − E)</t>
        </is>
      </c>
      <c r="B46" s="24">
        <f>B22-B37-B44</f>
        <v/>
      </c>
      <c r="C46" s="24">
        <f>C22-C37-C44</f>
        <v/>
      </c>
      <c r="D46" s="24">
        <f>D22-D37-D44</f>
        <v/>
      </c>
      <c r="E46" s="24">
        <f>E22-E37-E44</f>
        <v/>
      </c>
      <c r="F46" s="24">
        <f>F22-F37-F44</f>
        <v/>
      </c>
      <c r="G46" s="24">
        <f>G22-G37-G44</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CASH FLOW STATEMENT (indirect method)</t>
        </is>
      </c>
    </row>
    <row r="2">
      <c r="A2" s="2" t="inlineStr">
        <is>
          <t>All figures in SAR billion. Net change in cash flows to BS.</t>
        </is>
      </c>
    </row>
    <row r="4">
      <c r="A4" s="14" t="n"/>
      <c r="C4" s="15" t="inlineStr">
        <is>
          <t>Y1</t>
        </is>
      </c>
      <c r="D4" s="15" t="inlineStr">
        <is>
          <t>Y2</t>
        </is>
      </c>
      <c r="E4" s="15" t="inlineStr">
        <is>
          <t>Y3</t>
        </is>
      </c>
      <c r="F4" s="15" t="inlineStr">
        <is>
          <t>Y4</t>
        </is>
      </c>
      <c r="G4" s="15" t="inlineStr">
        <is>
          <t>Y5</t>
        </is>
      </c>
    </row>
    <row r="6">
      <c r="A6" s="3" t="inlineStr">
        <is>
          <t>OPERATING</t>
        </is>
      </c>
    </row>
    <row r="7">
      <c r="A7" s="6" t="inlineStr">
        <is>
          <t>Net income</t>
        </is>
      </c>
      <c r="C7" s="21">
        <f>IS!$C$40</f>
        <v/>
      </c>
      <c r="D7" s="21">
        <f>IS!$D$40</f>
        <v/>
      </c>
      <c r="E7" s="21">
        <f>IS!$E$40</f>
        <v/>
      </c>
      <c r="F7" s="21">
        <f>IS!$F$40</f>
        <v/>
      </c>
      <c r="G7" s="21">
        <f>IS!$G$40</f>
        <v/>
      </c>
    </row>
    <row r="8">
      <c r="A8" s="6" t="inlineStr">
        <is>
          <t>+ Depreciation (non-cash addback)</t>
        </is>
      </c>
      <c r="C8" s="21">
        <f>-IS!$C$30</f>
        <v/>
      </c>
      <c r="D8" s="21">
        <f>-IS!$D$30</f>
        <v/>
      </c>
      <c r="E8" s="21">
        <f>-IS!$E$30</f>
        <v/>
      </c>
      <c r="F8" s="21">
        <f>-IS!$F$30</f>
        <v/>
      </c>
      <c r="G8" s="21">
        <f>-IS!$G$30</f>
        <v/>
      </c>
    </row>
    <row r="9">
      <c r="A9" s="6" t="inlineStr">
        <is>
          <t>+ Amortisation (non-cash addback)</t>
        </is>
      </c>
      <c r="C9" s="21">
        <f>-IS!$C$31</f>
        <v/>
      </c>
      <c r="D9" s="21">
        <f>-IS!$D$31</f>
        <v/>
      </c>
      <c r="E9" s="21">
        <f>-IS!$E$31</f>
        <v/>
      </c>
      <c r="F9" s="21">
        <f>-IS!$F$31</f>
        <v/>
      </c>
      <c r="G9" s="21">
        <f>-IS!$G$31</f>
        <v/>
      </c>
    </row>
    <row r="10">
      <c r="A10" s="6" t="inlineStr">
        <is>
          <t>+ Deferred tax (non-cash addback)</t>
        </is>
      </c>
      <c r="C10" s="21">
        <f>Tax!$C$15</f>
        <v/>
      </c>
      <c r="D10" s="21">
        <f>Tax!$D$15</f>
        <v/>
      </c>
      <c r="E10" s="21">
        <f>Tax!$E$15</f>
        <v/>
      </c>
      <c r="F10" s="21">
        <f>Tax!$F$15</f>
        <v/>
      </c>
      <c r="G10" s="21">
        <f>Tax!$G$15</f>
        <v/>
      </c>
    </row>
    <row r="11">
      <c r="A11" s="6" t="inlineStr">
        <is>
          <t>+/− Δ working capital</t>
        </is>
      </c>
      <c r="C11" s="21">
        <f>WC!$C$20</f>
        <v/>
      </c>
      <c r="D11" s="21">
        <f>WC!$D$20</f>
        <v/>
      </c>
      <c r="E11" s="21">
        <f>WC!$E$20</f>
        <v/>
      </c>
      <c r="F11" s="21">
        <f>WC!$F$20</f>
        <v/>
      </c>
      <c r="G11" s="21">
        <f>WC!$G$20</f>
        <v/>
      </c>
    </row>
    <row r="12">
      <c r="A12" s="18" t="inlineStr">
        <is>
          <t>Cash from operations (CFO)</t>
        </is>
      </c>
      <c r="C12" s="22">
        <f>C7+C8+C9+C10+C11</f>
        <v/>
      </c>
      <c r="D12" s="22">
        <f>D7+D8+D9+D10+D11</f>
        <v/>
      </c>
      <c r="E12" s="22">
        <f>E7+E8+E9+E10+E11</f>
        <v/>
      </c>
      <c r="F12" s="22">
        <f>F7+F8+F9+F10+F11</f>
        <v/>
      </c>
      <c r="G12" s="22">
        <f>G7+G8+G9+G10+G11</f>
        <v/>
      </c>
    </row>
    <row r="14">
      <c r="A14" s="3" t="inlineStr">
        <is>
          <t>INVESTING</t>
        </is>
      </c>
    </row>
    <row r="15">
      <c r="A15" s="6" t="inlineStr">
        <is>
          <t>− Capex (PP&amp;E)</t>
        </is>
      </c>
      <c r="C15" s="21">
        <f>-PPE!$C$38</f>
        <v/>
      </c>
      <c r="D15" s="21">
        <f>-PPE!$D$38</f>
        <v/>
      </c>
      <c r="E15" s="21">
        <f>-PPE!$E$38</f>
        <v/>
      </c>
      <c r="F15" s="21">
        <f>-PPE!$F$38</f>
        <v/>
      </c>
      <c r="G15" s="21">
        <f>-PPE!$G$38</f>
        <v/>
      </c>
    </row>
    <row r="16">
      <c r="A16" s="6" t="inlineStr">
        <is>
          <t>− Spectrum cash payments</t>
        </is>
      </c>
      <c r="C16" s="21">
        <f>-Spectrum!$C$25</f>
        <v/>
      </c>
      <c r="D16" s="21">
        <f>-Spectrum!$D$25</f>
        <v/>
      </c>
      <c r="E16" s="21">
        <f>-Spectrum!$E$25</f>
        <v/>
      </c>
      <c r="F16" s="21">
        <f>-Spectrum!$F$25</f>
        <v/>
      </c>
      <c r="G16" s="21">
        <f>-Spectrum!$G$25</f>
        <v/>
      </c>
    </row>
    <row r="17">
      <c r="A17" s="6" t="inlineStr">
        <is>
          <t>Other investing (flat / nil)</t>
        </is>
      </c>
      <c r="C17" s="21">
        <f>0</f>
        <v/>
      </c>
      <c r="D17" s="21">
        <f>0</f>
        <v/>
      </c>
      <c r="E17" s="21">
        <f>0</f>
        <v/>
      </c>
      <c r="F17" s="21">
        <f>0</f>
        <v/>
      </c>
      <c r="G17" s="21">
        <f>0</f>
        <v/>
      </c>
    </row>
    <row r="18">
      <c r="A18" s="18" t="inlineStr">
        <is>
          <t>Cash from investing (CFI)</t>
        </is>
      </c>
      <c r="C18" s="22">
        <f>C15+C16+C17</f>
        <v/>
      </c>
      <c r="D18" s="22">
        <f>D15+D16+D17</f>
        <v/>
      </c>
      <c r="E18" s="22">
        <f>E15+E16+E17</f>
        <v/>
      </c>
      <c r="F18" s="22">
        <f>F15+F16+F17</f>
        <v/>
      </c>
      <c r="G18" s="22">
        <f>G15+G16+G17</f>
        <v/>
      </c>
    </row>
    <row r="20">
      <c r="A20" s="3" t="inlineStr">
        <is>
          <t>FINANCING</t>
        </is>
      </c>
    </row>
    <row r="21">
      <c r="A21" s="6" t="inlineStr">
        <is>
          <t>+/− Net debt issuance (from Debt schedule)</t>
        </is>
      </c>
      <c r="C21" s="21">
        <f>Debt!$C$46</f>
        <v/>
      </c>
      <c r="D21" s="21">
        <f>Debt!$D$46</f>
        <v/>
      </c>
      <c r="E21" s="21">
        <f>Debt!$E$46</f>
        <v/>
      </c>
      <c r="F21" s="21">
        <f>Debt!$F$46</f>
        <v/>
      </c>
      <c r="G21" s="21">
        <f>Debt!$G$46</f>
        <v/>
      </c>
    </row>
    <row r="22">
      <c r="A22" s="6" t="inlineStr">
        <is>
          <t>− Lease cash payments</t>
        </is>
      </c>
      <c r="C22" s="21">
        <f>Leases!$C$16</f>
        <v/>
      </c>
      <c r="D22" s="21">
        <f>Leases!$D$16</f>
        <v/>
      </c>
      <c r="E22" s="21">
        <f>Leases!$E$16</f>
        <v/>
      </c>
      <c r="F22" s="21">
        <f>Leases!$F$16</f>
        <v/>
      </c>
      <c r="G22" s="21">
        <f>Leases!$G$16</f>
        <v/>
      </c>
    </row>
    <row r="23">
      <c r="A23" s="6" t="inlineStr">
        <is>
          <t>− Dividends paid</t>
        </is>
      </c>
      <c r="C23" s="21">
        <f>Equity!$C$9</f>
        <v/>
      </c>
      <c r="D23" s="21">
        <f>Equity!$D$9</f>
        <v/>
      </c>
      <c r="E23" s="21">
        <f>Equity!$E$9</f>
        <v/>
      </c>
      <c r="F23" s="21">
        <f>Equity!$F$9</f>
        <v/>
      </c>
      <c r="G23" s="21">
        <f>Equity!$G$9</f>
        <v/>
      </c>
    </row>
    <row r="24">
      <c r="A24" s="18" t="inlineStr">
        <is>
          <t>Cash from financing (CFF)</t>
        </is>
      </c>
      <c r="C24" s="22">
        <f>C21+C22+C23</f>
        <v/>
      </c>
      <c r="D24" s="22">
        <f>D21+D22+D23</f>
        <v/>
      </c>
      <c r="E24" s="22">
        <f>E21+E22+E23</f>
        <v/>
      </c>
      <c r="F24" s="22">
        <f>F21+F22+F23</f>
        <v/>
      </c>
      <c r="G24" s="22">
        <f>G21+G22+G23</f>
        <v/>
      </c>
    </row>
    <row r="26">
      <c r="A26" s="18" t="inlineStr">
        <is>
          <t>Net change in cash</t>
        </is>
      </c>
      <c r="C26" s="22">
        <f>C12+C18+C24</f>
        <v/>
      </c>
      <c r="D26" s="22">
        <f>D12+D18+D24</f>
        <v/>
      </c>
      <c r="E26" s="22">
        <f>E12+E18+E24</f>
        <v/>
      </c>
      <c r="F26" s="22">
        <f>F12+F18+F24</f>
        <v/>
      </c>
      <c r="G26" s="22">
        <f>G12+G18+G24</f>
        <v/>
      </c>
    </row>
    <row r="27">
      <c r="A27" s="6" t="inlineStr">
        <is>
          <t>Opening cash</t>
        </is>
      </c>
      <c r="C27" s="21">
        <f>Assumptions!$B$35</f>
        <v/>
      </c>
      <c r="D27" s="21">
        <f>C28</f>
        <v/>
      </c>
      <c r="E27" s="21">
        <f>D28</f>
        <v/>
      </c>
      <c r="F27" s="21">
        <f>E28</f>
        <v/>
      </c>
      <c r="G27" s="21">
        <f>F28</f>
        <v/>
      </c>
    </row>
    <row r="28">
      <c r="A28" s="18" t="inlineStr">
        <is>
          <t>Closing cash</t>
        </is>
      </c>
      <c r="C28" s="22">
        <f>C27+C26</f>
        <v/>
      </c>
      <c r="D28" s="22">
        <f>D27+D26</f>
        <v/>
      </c>
      <c r="E28" s="22">
        <f>E27+E26</f>
        <v/>
      </c>
      <c r="F28" s="22">
        <f>F27+F26</f>
        <v/>
      </c>
      <c r="G28" s="22">
        <f>G27+G26</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3" t="inlineStr">
        <is>
          <t>Y1 MONTHLY BUDGET</t>
        </is>
      </c>
    </row>
    <row r="2">
      <c r="A2" s="2" t="inlineStr">
        <is>
          <t>Y1 P&amp;L line items, distributed by month per the seasonality weights below. Variance columns are placeholders for actuals.</t>
        </is>
      </c>
    </row>
    <row r="4">
      <c r="A4" s="14" t="n"/>
      <c r="B4" s="15" t="inlineStr">
        <is>
          <t>Jan</t>
        </is>
      </c>
      <c r="C4" s="15" t="inlineStr">
        <is>
          <t>Feb</t>
        </is>
      </c>
      <c r="D4" s="15" t="inlineStr">
        <is>
          <t>Mar</t>
        </is>
      </c>
      <c r="E4" s="15" t="inlineStr">
        <is>
          <t>Apr</t>
        </is>
      </c>
      <c r="F4" s="15" t="inlineStr">
        <is>
          <t>May</t>
        </is>
      </c>
      <c r="G4" s="15" t="inlineStr">
        <is>
          <t>Jun</t>
        </is>
      </c>
      <c r="H4" s="15" t="inlineStr">
        <is>
          <t>Jul</t>
        </is>
      </c>
      <c r="I4" s="15" t="inlineStr">
        <is>
          <t>Aug</t>
        </is>
      </c>
      <c r="J4" s="15" t="inlineStr">
        <is>
          <t>Sep</t>
        </is>
      </c>
      <c r="K4" s="15" t="inlineStr">
        <is>
          <t>Oct</t>
        </is>
      </c>
      <c r="L4" s="15" t="inlineStr">
        <is>
          <t>Nov</t>
        </is>
      </c>
      <c r="M4" s="15" t="inlineStr">
        <is>
          <t>Dec</t>
        </is>
      </c>
      <c r="N4" s="15" t="inlineStr">
        <is>
          <t>Y1 Total</t>
        </is>
      </c>
    </row>
    <row r="5">
      <c r="A5" s="6" t="inlineStr">
        <is>
          <t>Seasonality weight</t>
        </is>
      </c>
      <c r="B5" s="10" t="n">
        <v>0.081</v>
      </c>
      <c r="C5" s="10" t="n">
        <v>0.078</v>
      </c>
      <c r="D5" s="10" t="n">
        <v>0.082</v>
      </c>
      <c r="E5" s="10" t="n">
        <v>0.083</v>
      </c>
      <c r="F5" s="10" t="n">
        <v>0.082</v>
      </c>
      <c r="G5" s="10" t="n">
        <v>0.08500000000000001</v>
      </c>
      <c r="H5" s="10" t="n">
        <v>0.082</v>
      </c>
      <c r="I5" s="10" t="n">
        <v>0.083</v>
      </c>
      <c r="J5" s="10" t="n">
        <v>0.08400000000000001</v>
      </c>
      <c r="K5" s="10" t="n">
        <v>0.08599999999999999</v>
      </c>
      <c r="L5" s="10" t="n">
        <v>0.08699999999999999</v>
      </c>
      <c r="M5" s="10" t="n">
        <v>0.08699999999999999</v>
      </c>
      <c r="N5" s="26">
        <f>SUM(B5:M5)</f>
        <v/>
      </c>
    </row>
    <row r="7">
      <c r="A7" s="3" t="inlineStr">
        <is>
          <t>P&amp;L lines (SAR bn)</t>
        </is>
      </c>
    </row>
    <row r="8">
      <c r="A8" s="6" t="inlineStr">
        <is>
          <t>Total revenue</t>
        </is>
      </c>
      <c r="B8" s="21">
        <f>B5*(IS!$C$14)</f>
        <v/>
      </c>
      <c r="C8" s="21">
        <f>C5*(IS!$C$14)</f>
        <v/>
      </c>
      <c r="D8" s="21">
        <f>D5*(IS!$C$14)</f>
        <v/>
      </c>
      <c r="E8" s="21">
        <f>E5*(IS!$C$14)</f>
        <v/>
      </c>
      <c r="F8" s="21">
        <f>F5*(IS!$C$14)</f>
        <v/>
      </c>
      <c r="G8" s="21">
        <f>G5*(IS!$C$14)</f>
        <v/>
      </c>
      <c r="H8" s="21">
        <f>H5*(IS!$C$14)</f>
        <v/>
      </c>
      <c r="I8" s="21">
        <f>I5*(IS!$C$14)</f>
        <v/>
      </c>
      <c r="J8" s="21">
        <f>J5*(IS!$C$14)</f>
        <v/>
      </c>
      <c r="K8" s="21">
        <f>K5*(IS!$C$14)</f>
        <v/>
      </c>
      <c r="L8" s="21">
        <f>L5*(IS!$C$14)</f>
        <v/>
      </c>
      <c r="M8" s="21">
        <f>M5*(IS!$C$14)</f>
        <v/>
      </c>
      <c r="N8" s="24">
        <f>SUM(B8:M8)</f>
        <v/>
      </c>
    </row>
    <row r="9">
      <c r="A9" s="6" t="inlineStr">
        <is>
          <t xml:space="preserve">  Service revenue</t>
        </is>
      </c>
      <c r="B9" s="21">
        <f>B5*(IS!$C$12)</f>
        <v/>
      </c>
      <c r="C9" s="21">
        <f>C5*(IS!$C$12)</f>
        <v/>
      </c>
      <c r="D9" s="21">
        <f>D5*(IS!$C$12)</f>
        <v/>
      </c>
      <c r="E9" s="21">
        <f>E5*(IS!$C$12)</f>
        <v/>
      </c>
      <c r="F9" s="21">
        <f>F5*(IS!$C$12)</f>
        <v/>
      </c>
      <c r="G9" s="21">
        <f>G5*(IS!$C$12)</f>
        <v/>
      </c>
      <c r="H9" s="21">
        <f>H5*(IS!$C$12)</f>
        <v/>
      </c>
      <c r="I9" s="21">
        <f>I5*(IS!$C$12)</f>
        <v/>
      </c>
      <c r="J9" s="21">
        <f>J5*(IS!$C$12)</f>
        <v/>
      </c>
      <c r="K9" s="21">
        <f>K5*(IS!$C$12)</f>
        <v/>
      </c>
      <c r="L9" s="21">
        <f>L5*(IS!$C$12)</f>
        <v/>
      </c>
      <c r="M9" s="21">
        <f>M5*(IS!$C$12)</f>
        <v/>
      </c>
      <c r="N9" s="24">
        <f>SUM(B9:M9)</f>
        <v/>
      </c>
    </row>
    <row r="10">
      <c r="A10" s="6" t="inlineStr">
        <is>
          <t xml:space="preserve">  Equipment revenue</t>
        </is>
      </c>
      <c r="B10" s="21">
        <f>B5*(IS!$C$13)</f>
        <v/>
      </c>
      <c r="C10" s="21">
        <f>C5*(IS!$C$13)</f>
        <v/>
      </c>
      <c r="D10" s="21">
        <f>D5*(IS!$C$13)</f>
        <v/>
      </c>
      <c r="E10" s="21">
        <f>E5*(IS!$C$13)</f>
        <v/>
      </c>
      <c r="F10" s="21">
        <f>F5*(IS!$C$13)</f>
        <v/>
      </c>
      <c r="G10" s="21">
        <f>G5*(IS!$C$13)</f>
        <v/>
      </c>
      <c r="H10" s="21">
        <f>H5*(IS!$C$13)</f>
        <v/>
      </c>
      <c r="I10" s="21">
        <f>I5*(IS!$C$13)</f>
        <v/>
      </c>
      <c r="J10" s="21">
        <f>J5*(IS!$C$13)</f>
        <v/>
      </c>
      <c r="K10" s="21">
        <f>K5*(IS!$C$13)</f>
        <v/>
      </c>
      <c r="L10" s="21">
        <f>L5*(IS!$C$13)</f>
        <v/>
      </c>
      <c r="M10" s="21">
        <f>M5*(IS!$C$13)</f>
        <v/>
      </c>
      <c r="N10" s="24">
        <f>SUM(B10:M10)</f>
        <v/>
      </c>
    </row>
    <row r="11">
      <c r="A11" s="6" t="inlineStr">
        <is>
          <t>Interconnect &amp; roaming</t>
        </is>
      </c>
      <c r="B11" s="21">
        <f>B5*(IS!$C$17)</f>
        <v/>
      </c>
      <c r="C11" s="21">
        <f>C5*(IS!$C$17)</f>
        <v/>
      </c>
      <c r="D11" s="21">
        <f>D5*(IS!$C$17)</f>
        <v/>
      </c>
      <c r="E11" s="21">
        <f>E5*(IS!$C$17)</f>
        <v/>
      </c>
      <c r="F11" s="21">
        <f>F5*(IS!$C$17)</f>
        <v/>
      </c>
      <c r="G11" s="21">
        <f>G5*(IS!$C$17)</f>
        <v/>
      </c>
      <c r="H11" s="21">
        <f>H5*(IS!$C$17)</f>
        <v/>
      </c>
      <c r="I11" s="21">
        <f>I5*(IS!$C$17)</f>
        <v/>
      </c>
      <c r="J11" s="21">
        <f>J5*(IS!$C$17)</f>
        <v/>
      </c>
      <c r="K11" s="21">
        <f>K5*(IS!$C$17)</f>
        <v/>
      </c>
      <c r="L11" s="21">
        <f>L5*(IS!$C$17)</f>
        <v/>
      </c>
      <c r="M11" s="21">
        <f>M5*(IS!$C$17)</f>
        <v/>
      </c>
      <c r="N11" s="24">
        <f>SUM(B11:M11)</f>
        <v/>
      </c>
    </row>
    <row r="12">
      <c r="A12" s="6" t="inlineStr">
        <is>
          <t>Content / OTT</t>
        </is>
      </c>
      <c r="B12" s="21">
        <f>B5*(IS!$C$18)</f>
        <v/>
      </c>
      <c r="C12" s="21">
        <f>C5*(IS!$C$18)</f>
        <v/>
      </c>
      <c r="D12" s="21">
        <f>D5*(IS!$C$18)</f>
        <v/>
      </c>
      <c r="E12" s="21">
        <f>E5*(IS!$C$18)</f>
        <v/>
      </c>
      <c r="F12" s="21">
        <f>F5*(IS!$C$18)</f>
        <v/>
      </c>
      <c r="G12" s="21">
        <f>G5*(IS!$C$18)</f>
        <v/>
      </c>
      <c r="H12" s="21">
        <f>H5*(IS!$C$18)</f>
        <v/>
      </c>
      <c r="I12" s="21">
        <f>I5*(IS!$C$18)</f>
        <v/>
      </c>
      <c r="J12" s="21">
        <f>J5*(IS!$C$18)</f>
        <v/>
      </c>
      <c r="K12" s="21">
        <f>K5*(IS!$C$18)</f>
        <v/>
      </c>
      <c r="L12" s="21">
        <f>L5*(IS!$C$18)</f>
        <v/>
      </c>
      <c r="M12" s="21">
        <f>M5*(IS!$C$18)</f>
        <v/>
      </c>
      <c r="N12" s="24">
        <f>SUM(B12:M12)</f>
        <v/>
      </c>
    </row>
    <row r="13">
      <c r="A13" s="6" t="inlineStr">
        <is>
          <t>Equipment COGS</t>
        </is>
      </c>
      <c r="B13" s="21">
        <f>B5*(IS!$C$19)</f>
        <v/>
      </c>
      <c r="C13" s="21">
        <f>C5*(IS!$C$19)</f>
        <v/>
      </c>
      <c r="D13" s="21">
        <f>D5*(IS!$C$19)</f>
        <v/>
      </c>
      <c r="E13" s="21">
        <f>E5*(IS!$C$19)</f>
        <v/>
      </c>
      <c r="F13" s="21">
        <f>F5*(IS!$C$19)</f>
        <v/>
      </c>
      <c r="G13" s="21">
        <f>G5*(IS!$C$19)</f>
        <v/>
      </c>
      <c r="H13" s="21">
        <f>H5*(IS!$C$19)</f>
        <v/>
      </c>
      <c r="I13" s="21">
        <f>I5*(IS!$C$19)</f>
        <v/>
      </c>
      <c r="J13" s="21">
        <f>J5*(IS!$C$19)</f>
        <v/>
      </c>
      <c r="K13" s="21">
        <f>K5*(IS!$C$19)</f>
        <v/>
      </c>
      <c r="L13" s="21">
        <f>L5*(IS!$C$19)</f>
        <v/>
      </c>
      <c r="M13" s="21">
        <f>M5*(IS!$C$19)</f>
        <v/>
      </c>
      <c r="N13" s="24">
        <f>SUM(B13:M13)</f>
        <v/>
      </c>
    </row>
    <row r="14">
      <c r="A14" s="6" t="inlineStr">
        <is>
          <t>Network energy + lease</t>
        </is>
      </c>
      <c r="B14" s="21">
        <f>B5*(IS!$C$20)</f>
        <v/>
      </c>
      <c r="C14" s="21">
        <f>C5*(IS!$C$20)</f>
        <v/>
      </c>
      <c r="D14" s="21">
        <f>D5*(IS!$C$20)</f>
        <v/>
      </c>
      <c r="E14" s="21">
        <f>E5*(IS!$C$20)</f>
        <v/>
      </c>
      <c r="F14" s="21">
        <f>F5*(IS!$C$20)</f>
        <v/>
      </c>
      <c r="G14" s="21">
        <f>G5*(IS!$C$20)</f>
        <v/>
      </c>
      <c r="H14" s="21">
        <f>H5*(IS!$C$20)</f>
        <v/>
      </c>
      <c r="I14" s="21">
        <f>I5*(IS!$C$20)</f>
        <v/>
      </c>
      <c r="J14" s="21">
        <f>J5*(IS!$C$20)</f>
        <v/>
      </c>
      <c r="K14" s="21">
        <f>K5*(IS!$C$20)</f>
        <v/>
      </c>
      <c r="L14" s="21">
        <f>L5*(IS!$C$20)</f>
        <v/>
      </c>
      <c r="M14" s="21">
        <f>M5*(IS!$C$20)</f>
        <v/>
      </c>
      <c r="N14" s="24">
        <f>SUM(B14:M14)</f>
        <v/>
      </c>
    </row>
    <row r="15">
      <c r="A15" s="6" t="inlineStr">
        <is>
          <t>Other network opex</t>
        </is>
      </c>
      <c r="B15" s="21">
        <f>B5*(IS!$C$21)</f>
        <v/>
      </c>
      <c r="C15" s="21">
        <f>C5*(IS!$C$21)</f>
        <v/>
      </c>
      <c r="D15" s="21">
        <f>D5*(IS!$C$21)</f>
        <v/>
      </c>
      <c r="E15" s="21">
        <f>E5*(IS!$C$21)</f>
        <v/>
      </c>
      <c r="F15" s="21">
        <f>F5*(IS!$C$21)</f>
        <v/>
      </c>
      <c r="G15" s="21">
        <f>G5*(IS!$C$21)</f>
        <v/>
      </c>
      <c r="H15" s="21">
        <f>H5*(IS!$C$21)</f>
        <v/>
      </c>
      <c r="I15" s="21">
        <f>I5*(IS!$C$21)</f>
        <v/>
      </c>
      <c r="J15" s="21">
        <f>J5*(IS!$C$21)</f>
        <v/>
      </c>
      <c r="K15" s="21">
        <f>K5*(IS!$C$21)</f>
        <v/>
      </c>
      <c r="L15" s="21">
        <f>L5*(IS!$C$21)</f>
        <v/>
      </c>
      <c r="M15" s="21">
        <f>M5*(IS!$C$21)</f>
        <v/>
      </c>
      <c r="N15" s="24">
        <f>SUM(B15:M15)</f>
        <v/>
      </c>
    </row>
    <row r="16">
      <c r="A16" s="6" t="inlineStr">
        <is>
          <t>Employee costs</t>
        </is>
      </c>
      <c r="B16" s="21">
        <f>B5*(IS!$C$22)</f>
        <v/>
      </c>
      <c r="C16" s="21">
        <f>C5*(IS!$C$22)</f>
        <v/>
      </c>
      <c r="D16" s="21">
        <f>D5*(IS!$C$22)</f>
        <v/>
      </c>
      <c r="E16" s="21">
        <f>E5*(IS!$C$22)</f>
        <v/>
      </c>
      <c r="F16" s="21">
        <f>F5*(IS!$C$22)</f>
        <v/>
      </c>
      <c r="G16" s="21">
        <f>G5*(IS!$C$22)</f>
        <v/>
      </c>
      <c r="H16" s="21">
        <f>H5*(IS!$C$22)</f>
        <v/>
      </c>
      <c r="I16" s="21">
        <f>I5*(IS!$C$22)</f>
        <v/>
      </c>
      <c r="J16" s="21">
        <f>J5*(IS!$C$22)</f>
        <v/>
      </c>
      <c r="K16" s="21">
        <f>K5*(IS!$C$22)</f>
        <v/>
      </c>
      <c r="L16" s="21">
        <f>L5*(IS!$C$22)</f>
        <v/>
      </c>
      <c r="M16" s="21">
        <f>M5*(IS!$C$22)</f>
        <v/>
      </c>
      <c r="N16" s="24">
        <f>SUM(B16:M16)</f>
        <v/>
      </c>
    </row>
    <row r="17">
      <c r="A17" s="6" t="inlineStr">
        <is>
          <t>Customer acquisition</t>
        </is>
      </c>
      <c r="B17" s="21">
        <f>B5*(IS!$C$23)</f>
        <v/>
      </c>
      <c r="C17" s="21">
        <f>C5*(IS!$C$23)</f>
        <v/>
      </c>
      <c r="D17" s="21">
        <f>D5*(IS!$C$23)</f>
        <v/>
      </c>
      <c r="E17" s="21">
        <f>E5*(IS!$C$23)</f>
        <v/>
      </c>
      <c r="F17" s="21">
        <f>F5*(IS!$C$23)</f>
        <v/>
      </c>
      <c r="G17" s="21">
        <f>G5*(IS!$C$23)</f>
        <v/>
      </c>
      <c r="H17" s="21">
        <f>H5*(IS!$C$23)</f>
        <v/>
      </c>
      <c r="I17" s="21">
        <f>I5*(IS!$C$23)</f>
        <v/>
      </c>
      <c r="J17" s="21">
        <f>J5*(IS!$C$23)</f>
        <v/>
      </c>
      <c r="K17" s="21">
        <f>K5*(IS!$C$23)</f>
        <v/>
      </c>
      <c r="L17" s="21">
        <f>L5*(IS!$C$23)</f>
        <v/>
      </c>
      <c r="M17" s="21">
        <f>M5*(IS!$C$23)</f>
        <v/>
      </c>
      <c r="N17" s="24">
        <f>SUM(B17:M17)</f>
        <v/>
      </c>
    </row>
    <row r="18">
      <c r="A18" s="6" t="inlineStr">
        <is>
          <t>Other commercial</t>
        </is>
      </c>
      <c r="B18" s="21">
        <f>B5*(IS!$C$24)</f>
        <v/>
      </c>
      <c r="C18" s="21">
        <f>C5*(IS!$C$24)</f>
        <v/>
      </c>
      <c r="D18" s="21">
        <f>D5*(IS!$C$24)</f>
        <v/>
      </c>
      <c r="E18" s="21">
        <f>E5*(IS!$C$24)</f>
        <v/>
      </c>
      <c r="F18" s="21">
        <f>F5*(IS!$C$24)</f>
        <v/>
      </c>
      <c r="G18" s="21">
        <f>G5*(IS!$C$24)</f>
        <v/>
      </c>
      <c r="H18" s="21">
        <f>H5*(IS!$C$24)</f>
        <v/>
      </c>
      <c r="I18" s="21">
        <f>I5*(IS!$C$24)</f>
        <v/>
      </c>
      <c r="J18" s="21">
        <f>J5*(IS!$C$24)</f>
        <v/>
      </c>
      <c r="K18" s="21">
        <f>K5*(IS!$C$24)</f>
        <v/>
      </c>
      <c r="L18" s="21">
        <f>L5*(IS!$C$24)</f>
        <v/>
      </c>
      <c r="M18" s="21">
        <f>M5*(IS!$C$24)</f>
        <v/>
      </c>
      <c r="N18" s="24">
        <f>SUM(B18:M18)</f>
        <v/>
      </c>
    </row>
    <row r="19">
      <c r="A19" s="6" t="inlineStr">
        <is>
          <t>G&amp;A</t>
        </is>
      </c>
      <c r="B19" s="21">
        <f>B5*(IS!$C$25)</f>
        <v/>
      </c>
      <c r="C19" s="21">
        <f>C5*(IS!$C$25)</f>
        <v/>
      </c>
      <c r="D19" s="21">
        <f>D5*(IS!$C$25)</f>
        <v/>
      </c>
      <c r="E19" s="21">
        <f>E5*(IS!$C$25)</f>
        <v/>
      </c>
      <c r="F19" s="21">
        <f>F5*(IS!$C$25)</f>
        <v/>
      </c>
      <c r="G19" s="21">
        <f>G5*(IS!$C$25)</f>
        <v/>
      </c>
      <c r="H19" s="21">
        <f>H5*(IS!$C$25)</f>
        <v/>
      </c>
      <c r="I19" s="21">
        <f>I5*(IS!$C$25)</f>
        <v/>
      </c>
      <c r="J19" s="21">
        <f>J5*(IS!$C$25)</f>
        <v/>
      </c>
      <c r="K19" s="21">
        <f>K5*(IS!$C$25)</f>
        <v/>
      </c>
      <c r="L19" s="21">
        <f>L5*(IS!$C$25)</f>
        <v/>
      </c>
      <c r="M19" s="21">
        <f>M5*(IS!$C$25)</f>
        <v/>
      </c>
      <c r="N19" s="24">
        <f>SUM(B19:M19)</f>
        <v/>
      </c>
    </row>
    <row r="20">
      <c r="A20" s="6" t="inlineStr">
        <is>
          <t>FX losses</t>
        </is>
      </c>
      <c r="B20" s="21">
        <f>B5*(IS!$C$26)</f>
        <v/>
      </c>
      <c r="C20" s="21">
        <f>C5*(IS!$C$26)</f>
        <v/>
      </c>
      <c r="D20" s="21">
        <f>D5*(IS!$C$26)</f>
        <v/>
      </c>
      <c r="E20" s="21">
        <f>E5*(IS!$C$26)</f>
        <v/>
      </c>
      <c r="F20" s="21">
        <f>F5*(IS!$C$26)</f>
        <v/>
      </c>
      <c r="G20" s="21">
        <f>G5*(IS!$C$26)</f>
        <v/>
      </c>
      <c r="H20" s="21">
        <f>H5*(IS!$C$26)</f>
        <v/>
      </c>
      <c r="I20" s="21">
        <f>I5*(IS!$C$26)</f>
        <v/>
      </c>
      <c r="J20" s="21">
        <f>J5*(IS!$C$26)</f>
        <v/>
      </c>
      <c r="K20" s="21">
        <f>K5*(IS!$C$26)</f>
        <v/>
      </c>
      <c r="L20" s="21">
        <f>L5*(IS!$C$26)</f>
        <v/>
      </c>
      <c r="M20" s="21">
        <f>M5*(IS!$C$26)</f>
        <v/>
      </c>
      <c r="N20" s="24">
        <f>SUM(B20:M20)</f>
        <v/>
      </c>
    </row>
    <row r="21">
      <c r="A21" s="18" t="inlineStr">
        <is>
          <t>EBITDA</t>
        </is>
      </c>
      <c r="B21" s="22">
        <f>B5*(IS!$C$28)</f>
        <v/>
      </c>
      <c r="C21" s="22">
        <f>C5*(IS!$C$28)</f>
        <v/>
      </c>
      <c r="D21" s="22">
        <f>D5*(IS!$C$28)</f>
        <v/>
      </c>
      <c r="E21" s="22">
        <f>E5*(IS!$C$28)</f>
        <v/>
      </c>
      <c r="F21" s="22">
        <f>F5*(IS!$C$28)</f>
        <v/>
      </c>
      <c r="G21" s="22">
        <f>G5*(IS!$C$28)</f>
        <v/>
      </c>
      <c r="H21" s="22">
        <f>H5*(IS!$C$28)</f>
        <v/>
      </c>
      <c r="I21" s="22">
        <f>I5*(IS!$C$28)</f>
        <v/>
      </c>
      <c r="J21" s="22">
        <f>J5*(IS!$C$28)</f>
        <v/>
      </c>
      <c r="K21" s="22">
        <f>K5*(IS!$C$28)</f>
        <v/>
      </c>
      <c r="L21" s="22">
        <f>L5*(IS!$C$28)</f>
        <v/>
      </c>
      <c r="M21" s="22">
        <f>M5*(IS!$C$28)</f>
        <v/>
      </c>
      <c r="N21" s="22">
        <f>SUM(B21:M21)</f>
        <v/>
      </c>
    </row>
    <row r="22">
      <c r="A22" s="6" t="inlineStr">
        <is>
          <t>Depreciation</t>
        </is>
      </c>
      <c r="B22" s="21">
        <f>B5*(IS!$C$30)</f>
        <v/>
      </c>
      <c r="C22" s="21">
        <f>C5*(IS!$C$30)</f>
        <v/>
      </c>
      <c r="D22" s="21">
        <f>D5*(IS!$C$30)</f>
        <v/>
      </c>
      <c r="E22" s="21">
        <f>E5*(IS!$C$30)</f>
        <v/>
      </c>
      <c r="F22" s="21">
        <f>F5*(IS!$C$30)</f>
        <v/>
      </c>
      <c r="G22" s="21">
        <f>G5*(IS!$C$30)</f>
        <v/>
      </c>
      <c r="H22" s="21">
        <f>H5*(IS!$C$30)</f>
        <v/>
      </c>
      <c r="I22" s="21">
        <f>I5*(IS!$C$30)</f>
        <v/>
      </c>
      <c r="J22" s="21">
        <f>J5*(IS!$C$30)</f>
        <v/>
      </c>
      <c r="K22" s="21">
        <f>K5*(IS!$C$30)</f>
        <v/>
      </c>
      <c r="L22" s="21">
        <f>L5*(IS!$C$30)</f>
        <v/>
      </c>
      <c r="M22" s="21">
        <f>M5*(IS!$C$30)</f>
        <v/>
      </c>
      <c r="N22" s="24">
        <f>SUM(B22:M22)</f>
        <v/>
      </c>
    </row>
    <row r="23">
      <c r="A23" s="6" t="inlineStr">
        <is>
          <t>Amortisation</t>
        </is>
      </c>
      <c r="B23" s="21">
        <f>B5*(IS!$C$31)</f>
        <v/>
      </c>
      <c r="C23" s="21">
        <f>C5*(IS!$C$31)</f>
        <v/>
      </c>
      <c r="D23" s="21">
        <f>D5*(IS!$C$31)</f>
        <v/>
      </c>
      <c r="E23" s="21">
        <f>E5*(IS!$C$31)</f>
        <v/>
      </c>
      <c r="F23" s="21">
        <f>F5*(IS!$C$31)</f>
        <v/>
      </c>
      <c r="G23" s="21">
        <f>G5*(IS!$C$31)</f>
        <v/>
      </c>
      <c r="H23" s="21">
        <f>H5*(IS!$C$31)</f>
        <v/>
      </c>
      <c r="I23" s="21">
        <f>I5*(IS!$C$31)</f>
        <v/>
      </c>
      <c r="J23" s="21">
        <f>J5*(IS!$C$31)</f>
        <v/>
      </c>
      <c r="K23" s="21">
        <f>K5*(IS!$C$31)</f>
        <v/>
      </c>
      <c r="L23" s="21">
        <f>L5*(IS!$C$31)</f>
        <v/>
      </c>
      <c r="M23" s="21">
        <f>M5*(IS!$C$31)</f>
        <v/>
      </c>
      <c r="N23" s="24">
        <f>SUM(B23:M23)</f>
        <v/>
      </c>
    </row>
    <row r="24">
      <c r="A24" s="18" t="inlineStr">
        <is>
          <t>EBIT</t>
        </is>
      </c>
      <c r="B24" s="22">
        <f>B5*(IS!$C$32)</f>
        <v/>
      </c>
      <c r="C24" s="22">
        <f>C5*(IS!$C$32)</f>
        <v/>
      </c>
      <c r="D24" s="22">
        <f>D5*(IS!$C$32)</f>
        <v/>
      </c>
      <c r="E24" s="22">
        <f>E5*(IS!$C$32)</f>
        <v/>
      </c>
      <c r="F24" s="22">
        <f>F5*(IS!$C$32)</f>
        <v/>
      </c>
      <c r="G24" s="22">
        <f>G5*(IS!$C$32)</f>
        <v/>
      </c>
      <c r="H24" s="22">
        <f>H5*(IS!$C$32)</f>
        <v/>
      </c>
      <c r="I24" s="22">
        <f>I5*(IS!$C$32)</f>
        <v/>
      </c>
      <c r="J24" s="22">
        <f>J5*(IS!$C$32)</f>
        <v/>
      </c>
      <c r="K24" s="22">
        <f>K5*(IS!$C$32)</f>
        <v/>
      </c>
      <c r="L24" s="22">
        <f>L5*(IS!$C$32)</f>
        <v/>
      </c>
      <c r="M24" s="22">
        <f>M5*(IS!$C$32)</f>
        <v/>
      </c>
      <c r="N24" s="22">
        <f>SUM(B24:M24)</f>
        <v/>
      </c>
    </row>
    <row r="25">
      <c r="A25" s="18" t="inlineStr">
        <is>
          <t>Net income</t>
        </is>
      </c>
      <c r="B25" s="22">
        <f>B5*(IS!$C$40)</f>
        <v/>
      </c>
      <c r="C25" s="22">
        <f>C5*(IS!$C$40)</f>
        <v/>
      </c>
      <c r="D25" s="22">
        <f>D5*(IS!$C$40)</f>
        <v/>
      </c>
      <c r="E25" s="22">
        <f>E5*(IS!$C$40)</f>
        <v/>
      </c>
      <c r="F25" s="22">
        <f>F5*(IS!$C$40)</f>
        <v/>
      </c>
      <c r="G25" s="22">
        <f>G5*(IS!$C$40)</f>
        <v/>
      </c>
      <c r="H25" s="22">
        <f>H5*(IS!$C$40)</f>
        <v/>
      </c>
      <c r="I25" s="22">
        <f>I5*(IS!$C$40)</f>
        <v/>
      </c>
      <c r="J25" s="22">
        <f>J5*(IS!$C$40)</f>
        <v/>
      </c>
      <c r="K25" s="22">
        <f>K5*(IS!$C$40)</f>
        <v/>
      </c>
      <c r="L25" s="22">
        <f>L5*(IS!$C$40)</f>
        <v/>
      </c>
      <c r="M25" s="22">
        <f>M5*(IS!$C$40)</f>
        <v/>
      </c>
      <c r="N25" s="22">
        <f>SUM(B25:M25)</f>
        <v/>
      </c>
    </row>
    <row r="26">
      <c r="A26" s="6" t="inlineStr">
        <is>
          <t xml:space="preserve">  Attributable to parent</t>
        </is>
      </c>
      <c r="B26" s="21">
        <f>B5*(IS!$C$42)</f>
        <v/>
      </c>
      <c r="C26" s="21">
        <f>C5*(IS!$C$42)</f>
        <v/>
      </c>
      <c r="D26" s="21">
        <f>D5*(IS!$C$42)</f>
        <v/>
      </c>
      <c r="E26" s="21">
        <f>E5*(IS!$C$42)</f>
        <v/>
      </c>
      <c r="F26" s="21">
        <f>F5*(IS!$C$42)</f>
        <v/>
      </c>
      <c r="G26" s="21">
        <f>G5*(IS!$C$42)</f>
        <v/>
      </c>
      <c r="H26" s="21">
        <f>H5*(IS!$C$42)</f>
        <v/>
      </c>
      <c r="I26" s="21">
        <f>I5*(IS!$C$42)</f>
        <v/>
      </c>
      <c r="J26" s="21">
        <f>J5*(IS!$C$42)</f>
        <v/>
      </c>
      <c r="K26" s="21">
        <f>K5*(IS!$C$42)</f>
        <v/>
      </c>
      <c r="L26" s="21">
        <f>L5*(IS!$C$42)</f>
        <v/>
      </c>
      <c r="M26" s="21">
        <f>M5*(IS!$C$42)</f>
        <v/>
      </c>
      <c r="N26" s="24">
        <f>SUM(B26:M26)</f>
        <v/>
      </c>
    </row>
    <row r="27">
      <c r="A27" s="6" t="inlineStr">
        <is>
          <t xml:space="preserve">  Minority interest</t>
        </is>
      </c>
      <c r="B27" s="21">
        <f>B5*(IS!$C$43)</f>
        <v/>
      </c>
      <c r="C27" s="21">
        <f>C5*(IS!$C$43)</f>
        <v/>
      </c>
      <c r="D27" s="21">
        <f>D5*(IS!$C$43)</f>
        <v/>
      </c>
      <c r="E27" s="21">
        <f>E5*(IS!$C$43)</f>
        <v/>
      </c>
      <c r="F27" s="21">
        <f>F5*(IS!$C$43)</f>
        <v/>
      </c>
      <c r="G27" s="21">
        <f>G5*(IS!$C$43)</f>
        <v/>
      </c>
      <c r="H27" s="21">
        <f>H5*(IS!$C$43)</f>
        <v/>
      </c>
      <c r="I27" s="21">
        <f>I5*(IS!$C$43)</f>
        <v/>
      </c>
      <c r="J27" s="21">
        <f>J5*(IS!$C$43)</f>
        <v/>
      </c>
      <c r="K27" s="21">
        <f>K5*(IS!$C$43)</f>
        <v/>
      </c>
      <c r="L27" s="21">
        <f>L5*(IS!$C$43)</f>
        <v/>
      </c>
      <c r="M27" s="21">
        <f>M5*(IS!$C$43)</f>
        <v/>
      </c>
      <c r="N27" s="24">
        <f>SUM(B27:M27)</f>
        <v/>
      </c>
    </row>
    <row r="29">
      <c r="A29" s="3" t="inlineStr">
        <is>
          <t>Quarterly summary</t>
        </is>
      </c>
    </row>
    <row r="30">
      <c r="A30" s="6" t="inlineStr">
        <is>
          <t>Service revenue (quarterly)</t>
        </is>
      </c>
      <c r="B30" s="2" t="inlineStr">
        <is>
          <t>Q1</t>
        </is>
      </c>
      <c r="C30" s="2" t="inlineStr">
        <is>
          <t>Q2</t>
        </is>
      </c>
      <c r="D30" s="2" t="inlineStr">
        <is>
          <t>Q3</t>
        </is>
      </c>
      <c r="E30" s="2" t="inlineStr">
        <is>
          <t>Q4</t>
        </is>
      </c>
    </row>
    <row r="31">
      <c r="A31" s="6" t="inlineStr">
        <is>
          <t>Quarterly service revenue</t>
        </is>
      </c>
      <c r="B31" s="22">
        <f>B7+C7+D7</f>
        <v/>
      </c>
      <c r="C31" s="22">
        <f>E7+F7+G7</f>
        <v/>
      </c>
      <c r="D31" s="22">
        <f>H7+I7+J7</f>
        <v/>
      </c>
      <c r="E31" s="22">
        <f>K7+L7+M7</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s>
  <sheetData>
    <row r="1">
      <c r="A1" s="3" t="inlineStr">
        <is>
          <t>SCENARIO MANAGER</t>
        </is>
      </c>
    </row>
    <row r="2">
      <c r="A2" s="2" t="inlineStr">
        <is>
          <t>Reference table for downside / base / upside parameter sets. Active scenario set on Assumptions sheet.</t>
        </is>
      </c>
    </row>
    <row r="4">
      <c r="A4" s="14" t="n"/>
      <c r="B4" s="15" t="inlineStr">
        <is>
          <t>1: Downside</t>
        </is>
      </c>
      <c r="C4" s="15" t="inlineStr">
        <is>
          <t>2: Base</t>
        </is>
      </c>
      <c r="D4" s="15" t="inlineStr">
        <is>
          <t>3: Upside</t>
        </is>
      </c>
    </row>
    <row r="6">
      <c r="A6" s="6" t="inlineStr">
        <is>
          <t>Revenue growth</t>
        </is>
      </c>
      <c r="B6" s="10" t="n">
        <v>0.02</v>
      </c>
      <c r="C6" s="10" t="n">
        <v>0.06</v>
      </c>
      <c r="D6" s="10" t="n">
        <v>0.09</v>
      </c>
    </row>
    <row r="7">
      <c r="A7" s="6" t="inlineStr">
        <is>
          <t>EBITDA margin (target)</t>
        </is>
      </c>
      <c r="B7" s="10" t="n">
        <v>0.33</v>
      </c>
      <c r="C7" s="10" t="n">
        <v>0.36</v>
      </c>
      <c r="D7" s="10" t="n">
        <v>0.38</v>
      </c>
    </row>
    <row r="8">
      <c r="A8" s="6" t="inlineStr">
        <is>
          <t>Capex intensity</t>
        </is>
      </c>
      <c r="B8" s="10" t="n">
        <v>0.2</v>
      </c>
      <c r="C8" s="10" t="n">
        <v>0.18</v>
      </c>
      <c r="D8" s="10" t="n">
        <v>0.16</v>
      </c>
    </row>
    <row r="10">
      <c r="A10" s="5" t="inlineStr">
        <is>
          <t>Active scenario (1/2/3)</t>
        </is>
      </c>
      <c r="B10" s="27">
        <f>Assumptions!$B$62</f>
        <v/>
      </c>
    </row>
    <row r="12">
      <c r="A12" s="3" t="inlineStr">
        <is>
          <t>Active values (use INDEX in Assumptions to wire these)</t>
        </is>
      </c>
    </row>
    <row r="13">
      <c r="A13" s="6" t="inlineStr">
        <is>
          <t>Note</t>
        </is>
      </c>
      <c r="B13" s="28" t="inlineStr">
        <is>
          <t>Manually overwrite Assumptions!B6/B7/B9 with these values, or build INDEX formulas. Kept manual for clarity.</t>
        </is>
      </c>
    </row>
  </sheetData>
  <mergeCells count="1">
    <mergeCell ref="B13:E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SENSITIVITY TABLES</t>
        </is>
      </c>
    </row>
    <row r="2">
      <c r="A2" s="2" t="inlineStr">
        <is>
          <t>Two-way tables on the key valuation levers. Outputs computed via TABLE-style formulas — change axis values to flex.</t>
        </is>
      </c>
    </row>
    <row r="4">
      <c r="A4" s="3" t="inlineStr">
        <is>
          <t>Per-share value (SAR) — WACC × terminal growth</t>
        </is>
      </c>
    </row>
    <row r="5">
      <c r="A5" s="6" t="inlineStr">
        <is>
          <t>WACC →</t>
        </is>
      </c>
      <c r="B5" s="10" t="n">
        <v>0.07000000000000001</v>
      </c>
      <c r="C5" s="10" t="n">
        <v>0.08</v>
      </c>
      <c r="D5" s="10" t="n">
        <v>0.09</v>
      </c>
      <c r="E5" s="10" t="n">
        <v>0.1</v>
      </c>
      <c r="F5" s="10" t="n">
        <v>0.11</v>
      </c>
    </row>
    <row r="6">
      <c r="A6" s="10" t="n">
        <v>0.01</v>
      </c>
      <c r="B6" s="17">
        <f>((((IS!$C$32*(1-Assumptions!$B$20)+(-IS!$C$30)-PPE!$C$38+WC!$C$20)/(1+B5)^1)+((IS!$D$32*(1-Assumptions!$B$20)+(-IS!$D$30)-PPE!$D$38+WC!$D$20)/(1+B5)^2)+((IS!$E$32*(1-Assumptions!$B$20)+(-IS!$E$30)-PPE!$E$38+WC!$E$20)/(1+B5)^3)+((IS!$F$32*(1-Assumptions!$B$20)+(-IS!$F$30)-PPE!$F$38+WC!$F$20)/(1+B5)^4)+((IS!$G$32*(1-Assumptions!$B$20)+(-IS!$G$30)-PPE!$G$38+WC!$G$20)/(1+B5)^5)+(((IS!$G$32*(1-Assumptions!$B$20)+(-IS!$G$30)-PPE!$G$38+WC!$G$20)*(1+A6)/(B5-A6))/(1+B5)^5))-Debt!$B$43)*1000/Assumptions!$B$32</f>
        <v/>
      </c>
      <c r="C6" s="17">
        <f>((((IS!$C$32*(1-Assumptions!$B$20)+(-IS!$C$30)-PPE!$C$38+WC!$C$20)/(1+C5)^1)+((IS!$D$32*(1-Assumptions!$B$20)+(-IS!$D$30)-PPE!$D$38+WC!$D$20)/(1+C5)^2)+((IS!$E$32*(1-Assumptions!$B$20)+(-IS!$E$30)-PPE!$E$38+WC!$E$20)/(1+C5)^3)+((IS!$F$32*(1-Assumptions!$B$20)+(-IS!$F$30)-PPE!$F$38+WC!$F$20)/(1+C5)^4)+((IS!$G$32*(1-Assumptions!$B$20)+(-IS!$G$30)-PPE!$G$38+WC!$G$20)/(1+C5)^5)+(((IS!$G$32*(1-Assumptions!$B$20)+(-IS!$G$30)-PPE!$G$38+WC!$G$20)*(1+A6)/(C5-A6))/(1+C5)^5))-Debt!$B$43)*1000/Assumptions!$B$32</f>
        <v/>
      </c>
      <c r="D6" s="17">
        <f>((((IS!$C$32*(1-Assumptions!$B$20)+(-IS!$C$30)-PPE!$C$38+WC!$C$20)/(1+D5)^1)+((IS!$D$32*(1-Assumptions!$B$20)+(-IS!$D$30)-PPE!$D$38+WC!$D$20)/(1+D5)^2)+((IS!$E$32*(1-Assumptions!$B$20)+(-IS!$E$30)-PPE!$E$38+WC!$E$20)/(1+D5)^3)+((IS!$F$32*(1-Assumptions!$B$20)+(-IS!$F$30)-PPE!$F$38+WC!$F$20)/(1+D5)^4)+((IS!$G$32*(1-Assumptions!$B$20)+(-IS!$G$30)-PPE!$G$38+WC!$G$20)/(1+D5)^5)+(((IS!$G$32*(1-Assumptions!$B$20)+(-IS!$G$30)-PPE!$G$38+WC!$G$20)*(1+A6)/(D5-A6))/(1+D5)^5))-Debt!$B$43)*1000/Assumptions!$B$32</f>
        <v/>
      </c>
      <c r="E6" s="17">
        <f>((((IS!$C$32*(1-Assumptions!$B$20)+(-IS!$C$30)-PPE!$C$38+WC!$C$20)/(1+E5)^1)+((IS!$D$32*(1-Assumptions!$B$20)+(-IS!$D$30)-PPE!$D$38+WC!$D$20)/(1+E5)^2)+((IS!$E$32*(1-Assumptions!$B$20)+(-IS!$E$30)-PPE!$E$38+WC!$E$20)/(1+E5)^3)+((IS!$F$32*(1-Assumptions!$B$20)+(-IS!$F$30)-PPE!$F$38+WC!$F$20)/(1+E5)^4)+((IS!$G$32*(1-Assumptions!$B$20)+(-IS!$G$30)-PPE!$G$38+WC!$G$20)/(1+E5)^5)+(((IS!$G$32*(1-Assumptions!$B$20)+(-IS!$G$30)-PPE!$G$38+WC!$G$20)*(1+A6)/(E5-A6))/(1+E5)^5))-Debt!$B$43)*1000/Assumptions!$B$32</f>
        <v/>
      </c>
      <c r="F6" s="17">
        <f>((((IS!$C$32*(1-Assumptions!$B$20)+(-IS!$C$30)-PPE!$C$38+WC!$C$20)/(1+F5)^1)+((IS!$D$32*(1-Assumptions!$B$20)+(-IS!$D$30)-PPE!$D$38+WC!$D$20)/(1+F5)^2)+((IS!$E$32*(1-Assumptions!$B$20)+(-IS!$E$30)-PPE!$E$38+WC!$E$20)/(1+F5)^3)+((IS!$F$32*(1-Assumptions!$B$20)+(-IS!$F$30)-PPE!$F$38+WC!$F$20)/(1+F5)^4)+((IS!$G$32*(1-Assumptions!$B$20)+(-IS!$G$30)-PPE!$G$38+WC!$G$20)/(1+F5)^5)+(((IS!$G$32*(1-Assumptions!$B$20)+(-IS!$G$30)-PPE!$G$38+WC!$G$20)*(1+A6)/(F5-A6))/(1+F5)^5))-Debt!$B$43)*1000/Assumptions!$B$32</f>
        <v/>
      </c>
    </row>
    <row r="7">
      <c r="A7" s="10" t="n">
        <v>0.02</v>
      </c>
      <c r="B7" s="17">
        <f>((((IS!$C$32*(1-Assumptions!$B$20)+(-IS!$C$30)-PPE!$C$38+WC!$C$20)/(1+B5)^1)+((IS!$D$32*(1-Assumptions!$B$20)+(-IS!$D$30)-PPE!$D$38+WC!$D$20)/(1+B5)^2)+((IS!$E$32*(1-Assumptions!$B$20)+(-IS!$E$30)-PPE!$E$38+WC!$E$20)/(1+B5)^3)+((IS!$F$32*(1-Assumptions!$B$20)+(-IS!$F$30)-PPE!$F$38+WC!$F$20)/(1+B5)^4)+((IS!$G$32*(1-Assumptions!$B$20)+(-IS!$G$30)-PPE!$G$38+WC!$G$20)/(1+B5)^5)+(((IS!$G$32*(1-Assumptions!$B$20)+(-IS!$G$30)-PPE!$G$38+WC!$G$20)*(1+A7)/(B5-A7))/(1+B5)^5))-Debt!$B$43)*1000/Assumptions!$B$32</f>
        <v/>
      </c>
      <c r="C7" s="17">
        <f>((((IS!$C$32*(1-Assumptions!$B$20)+(-IS!$C$30)-PPE!$C$38+WC!$C$20)/(1+C5)^1)+((IS!$D$32*(1-Assumptions!$B$20)+(-IS!$D$30)-PPE!$D$38+WC!$D$20)/(1+C5)^2)+((IS!$E$32*(1-Assumptions!$B$20)+(-IS!$E$30)-PPE!$E$38+WC!$E$20)/(1+C5)^3)+((IS!$F$32*(1-Assumptions!$B$20)+(-IS!$F$30)-PPE!$F$38+WC!$F$20)/(1+C5)^4)+((IS!$G$32*(1-Assumptions!$B$20)+(-IS!$G$30)-PPE!$G$38+WC!$G$20)/(1+C5)^5)+(((IS!$G$32*(1-Assumptions!$B$20)+(-IS!$G$30)-PPE!$G$38+WC!$G$20)*(1+A7)/(C5-A7))/(1+C5)^5))-Debt!$B$43)*1000/Assumptions!$B$32</f>
        <v/>
      </c>
      <c r="D7" s="17">
        <f>((((IS!$C$32*(1-Assumptions!$B$20)+(-IS!$C$30)-PPE!$C$38+WC!$C$20)/(1+D5)^1)+((IS!$D$32*(1-Assumptions!$B$20)+(-IS!$D$30)-PPE!$D$38+WC!$D$20)/(1+D5)^2)+((IS!$E$32*(1-Assumptions!$B$20)+(-IS!$E$30)-PPE!$E$38+WC!$E$20)/(1+D5)^3)+((IS!$F$32*(1-Assumptions!$B$20)+(-IS!$F$30)-PPE!$F$38+WC!$F$20)/(1+D5)^4)+((IS!$G$32*(1-Assumptions!$B$20)+(-IS!$G$30)-PPE!$G$38+WC!$G$20)/(1+D5)^5)+(((IS!$G$32*(1-Assumptions!$B$20)+(-IS!$G$30)-PPE!$G$38+WC!$G$20)*(1+A7)/(D5-A7))/(1+D5)^5))-Debt!$B$43)*1000/Assumptions!$B$32</f>
        <v/>
      </c>
      <c r="E7" s="17">
        <f>((((IS!$C$32*(1-Assumptions!$B$20)+(-IS!$C$30)-PPE!$C$38+WC!$C$20)/(1+E5)^1)+((IS!$D$32*(1-Assumptions!$B$20)+(-IS!$D$30)-PPE!$D$38+WC!$D$20)/(1+E5)^2)+((IS!$E$32*(1-Assumptions!$B$20)+(-IS!$E$30)-PPE!$E$38+WC!$E$20)/(1+E5)^3)+((IS!$F$32*(1-Assumptions!$B$20)+(-IS!$F$30)-PPE!$F$38+WC!$F$20)/(1+E5)^4)+((IS!$G$32*(1-Assumptions!$B$20)+(-IS!$G$30)-PPE!$G$38+WC!$G$20)/(1+E5)^5)+(((IS!$G$32*(1-Assumptions!$B$20)+(-IS!$G$30)-PPE!$G$38+WC!$G$20)*(1+A7)/(E5-A7))/(1+E5)^5))-Debt!$B$43)*1000/Assumptions!$B$32</f>
        <v/>
      </c>
      <c r="F7" s="17">
        <f>((((IS!$C$32*(1-Assumptions!$B$20)+(-IS!$C$30)-PPE!$C$38+WC!$C$20)/(1+F5)^1)+((IS!$D$32*(1-Assumptions!$B$20)+(-IS!$D$30)-PPE!$D$38+WC!$D$20)/(1+F5)^2)+((IS!$E$32*(1-Assumptions!$B$20)+(-IS!$E$30)-PPE!$E$38+WC!$E$20)/(1+F5)^3)+((IS!$F$32*(1-Assumptions!$B$20)+(-IS!$F$30)-PPE!$F$38+WC!$F$20)/(1+F5)^4)+((IS!$G$32*(1-Assumptions!$B$20)+(-IS!$G$30)-PPE!$G$38+WC!$G$20)/(1+F5)^5)+(((IS!$G$32*(1-Assumptions!$B$20)+(-IS!$G$30)-PPE!$G$38+WC!$G$20)*(1+A7)/(F5-A7))/(1+F5)^5))-Debt!$B$43)*1000/Assumptions!$B$32</f>
        <v/>
      </c>
    </row>
    <row r="8">
      <c r="A8" s="10" t="n">
        <v>0.03</v>
      </c>
      <c r="B8" s="17">
        <f>((((IS!$C$32*(1-Assumptions!$B$20)+(-IS!$C$30)-PPE!$C$38+WC!$C$20)/(1+B5)^1)+((IS!$D$32*(1-Assumptions!$B$20)+(-IS!$D$30)-PPE!$D$38+WC!$D$20)/(1+B5)^2)+((IS!$E$32*(1-Assumptions!$B$20)+(-IS!$E$30)-PPE!$E$38+WC!$E$20)/(1+B5)^3)+((IS!$F$32*(1-Assumptions!$B$20)+(-IS!$F$30)-PPE!$F$38+WC!$F$20)/(1+B5)^4)+((IS!$G$32*(1-Assumptions!$B$20)+(-IS!$G$30)-PPE!$G$38+WC!$G$20)/(1+B5)^5)+(((IS!$G$32*(1-Assumptions!$B$20)+(-IS!$G$30)-PPE!$G$38+WC!$G$20)*(1+A8)/(B5-A8))/(1+B5)^5))-Debt!$B$43)*1000/Assumptions!$B$32</f>
        <v/>
      </c>
      <c r="C8" s="17">
        <f>((((IS!$C$32*(1-Assumptions!$B$20)+(-IS!$C$30)-PPE!$C$38+WC!$C$20)/(1+C5)^1)+((IS!$D$32*(1-Assumptions!$B$20)+(-IS!$D$30)-PPE!$D$38+WC!$D$20)/(1+C5)^2)+((IS!$E$32*(1-Assumptions!$B$20)+(-IS!$E$30)-PPE!$E$38+WC!$E$20)/(1+C5)^3)+((IS!$F$32*(1-Assumptions!$B$20)+(-IS!$F$30)-PPE!$F$38+WC!$F$20)/(1+C5)^4)+((IS!$G$32*(1-Assumptions!$B$20)+(-IS!$G$30)-PPE!$G$38+WC!$G$20)/(1+C5)^5)+(((IS!$G$32*(1-Assumptions!$B$20)+(-IS!$G$30)-PPE!$G$38+WC!$G$20)*(1+A8)/(C5-A8))/(1+C5)^5))-Debt!$B$43)*1000/Assumptions!$B$32</f>
        <v/>
      </c>
      <c r="D8" s="17">
        <f>((((IS!$C$32*(1-Assumptions!$B$20)+(-IS!$C$30)-PPE!$C$38+WC!$C$20)/(1+D5)^1)+((IS!$D$32*(1-Assumptions!$B$20)+(-IS!$D$30)-PPE!$D$38+WC!$D$20)/(1+D5)^2)+((IS!$E$32*(1-Assumptions!$B$20)+(-IS!$E$30)-PPE!$E$38+WC!$E$20)/(1+D5)^3)+((IS!$F$32*(1-Assumptions!$B$20)+(-IS!$F$30)-PPE!$F$38+WC!$F$20)/(1+D5)^4)+((IS!$G$32*(1-Assumptions!$B$20)+(-IS!$G$30)-PPE!$G$38+WC!$G$20)/(1+D5)^5)+(((IS!$G$32*(1-Assumptions!$B$20)+(-IS!$G$30)-PPE!$G$38+WC!$G$20)*(1+A8)/(D5-A8))/(1+D5)^5))-Debt!$B$43)*1000/Assumptions!$B$32</f>
        <v/>
      </c>
      <c r="E8" s="17">
        <f>((((IS!$C$32*(1-Assumptions!$B$20)+(-IS!$C$30)-PPE!$C$38+WC!$C$20)/(1+E5)^1)+((IS!$D$32*(1-Assumptions!$B$20)+(-IS!$D$30)-PPE!$D$38+WC!$D$20)/(1+E5)^2)+((IS!$E$32*(1-Assumptions!$B$20)+(-IS!$E$30)-PPE!$E$38+WC!$E$20)/(1+E5)^3)+((IS!$F$32*(1-Assumptions!$B$20)+(-IS!$F$30)-PPE!$F$38+WC!$F$20)/(1+E5)^4)+((IS!$G$32*(1-Assumptions!$B$20)+(-IS!$G$30)-PPE!$G$38+WC!$G$20)/(1+E5)^5)+(((IS!$G$32*(1-Assumptions!$B$20)+(-IS!$G$30)-PPE!$G$38+WC!$G$20)*(1+A8)/(E5-A8))/(1+E5)^5))-Debt!$B$43)*1000/Assumptions!$B$32</f>
        <v/>
      </c>
      <c r="F8" s="17">
        <f>((((IS!$C$32*(1-Assumptions!$B$20)+(-IS!$C$30)-PPE!$C$38+WC!$C$20)/(1+F5)^1)+((IS!$D$32*(1-Assumptions!$B$20)+(-IS!$D$30)-PPE!$D$38+WC!$D$20)/(1+F5)^2)+((IS!$E$32*(1-Assumptions!$B$20)+(-IS!$E$30)-PPE!$E$38+WC!$E$20)/(1+F5)^3)+((IS!$F$32*(1-Assumptions!$B$20)+(-IS!$F$30)-PPE!$F$38+WC!$F$20)/(1+F5)^4)+((IS!$G$32*(1-Assumptions!$B$20)+(-IS!$G$30)-PPE!$G$38+WC!$G$20)/(1+F5)^5)+(((IS!$G$32*(1-Assumptions!$B$20)+(-IS!$G$30)-PPE!$G$38+WC!$G$20)*(1+A8)/(F5-A8))/(1+F5)^5))-Debt!$B$43)*1000/Assumptions!$B$32</f>
        <v/>
      </c>
    </row>
    <row r="9">
      <c r="A9" s="10" t="n">
        <v>0.04</v>
      </c>
      <c r="B9" s="17">
        <f>((((IS!$C$32*(1-Assumptions!$B$20)+(-IS!$C$30)-PPE!$C$38+WC!$C$20)/(1+B5)^1)+((IS!$D$32*(1-Assumptions!$B$20)+(-IS!$D$30)-PPE!$D$38+WC!$D$20)/(1+B5)^2)+((IS!$E$32*(1-Assumptions!$B$20)+(-IS!$E$30)-PPE!$E$38+WC!$E$20)/(1+B5)^3)+((IS!$F$32*(1-Assumptions!$B$20)+(-IS!$F$30)-PPE!$F$38+WC!$F$20)/(1+B5)^4)+((IS!$G$32*(1-Assumptions!$B$20)+(-IS!$G$30)-PPE!$G$38+WC!$G$20)/(1+B5)^5)+(((IS!$G$32*(1-Assumptions!$B$20)+(-IS!$G$30)-PPE!$G$38+WC!$G$20)*(1+A9)/(B5-A9))/(1+B5)^5))-Debt!$B$43)*1000/Assumptions!$B$32</f>
        <v/>
      </c>
      <c r="C9" s="17">
        <f>((((IS!$C$32*(1-Assumptions!$B$20)+(-IS!$C$30)-PPE!$C$38+WC!$C$20)/(1+C5)^1)+((IS!$D$32*(1-Assumptions!$B$20)+(-IS!$D$30)-PPE!$D$38+WC!$D$20)/(1+C5)^2)+((IS!$E$32*(1-Assumptions!$B$20)+(-IS!$E$30)-PPE!$E$38+WC!$E$20)/(1+C5)^3)+((IS!$F$32*(1-Assumptions!$B$20)+(-IS!$F$30)-PPE!$F$38+WC!$F$20)/(1+C5)^4)+((IS!$G$32*(1-Assumptions!$B$20)+(-IS!$G$30)-PPE!$G$38+WC!$G$20)/(1+C5)^5)+(((IS!$G$32*(1-Assumptions!$B$20)+(-IS!$G$30)-PPE!$G$38+WC!$G$20)*(1+A9)/(C5-A9))/(1+C5)^5))-Debt!$B$43)*1000/Assumptions!$B$32</f>
        <v/>
      </c>
      <c r="D9" s="17">
        <f>((((IS!$C$32*(1-Assumptions!$B$20)+(-IS!$C$30)-PPE!$C$38+WC!$C$20)/(1+D5)^1)+((IS!$D$32*(1-Assumptions!$B$20)+(-IS!$D$30)-PPE!$D$38+WC!$D$20)/(1+D5)^2)+((IS!$E$32*(1-Assumptions!$B$20)+(-IS!$E$30)-PPE!$E$38+WC!$E$20)/(1+D5)^3)+((IS!$F$32*(1-Assumptions!$B$20)+(-IS!$F$30)-PPE!$F$38+WC!$F$20)/(1+D5)^4)+((IS!$G$32*(1-Assumptions!$B$20)+(-IS!$G$30)-PPE!$G$38+WC!$G$20)/(1+D5)^5)+(((IS!$G$32*(1-Assumptions!$B$20)+(-IS!$G$30)-PPE!$G$38+WC!$G$20)*(1+A9)/(D5-A9))/(1+D5)^5))-Debt!$B$43)*1000/Assumptions!$B$32</f>
        <v/>
      </c>
      <c r="E9" s="17">
        <f>((((IS!$C$32*(1-Assumptions!$B$20)+(-IS!$C$30)-PPE!$C$38+WC!$C$20)/(1+E5)^1)+((IS!$D$32*(1-Assumptions!$B$20)+(-IS!$D$30)-PPE!$D$38+WC!$D$20)/(1+E5)^2)+((IS!$E$32*(1-Assumptions!$B$20)+(-IS!$E$30)-PPE!$E$38+WC!$E$20)/(1+E5)^3)+((IS!$F$32*(1-Assumptions!$B$20)+(-IS!$F$30)-PPE!$F$38+WC!$F$20)/(1+E5)^4)+((IS!$G$32*(1-Assumptions!$B$20)+(-IS!$G$30)-PPE!$G$38+WC!$G$20)/(1+E5)^5)+(((IS!$G$32*(1-Assumptions!$B$20)+(-IS!$G$30)-PPE!$G$38+WC!$G$20)*(1+A9)/(E5-A9))/(1+E5)^5))-Debt!$B$43)*1000/Assumptions!$B$32</f>
        <v/>
      </c>
      <c r="F9" s="17">
        <f>((((IS!$C$32*(1-Assumptions!$B$20)+(-IS!$C$30)-PPE!$C$38+WC!$C$20)/(1+F5)^1)+((IS!$D$32*(1-Assumptions!$B$20)+(-IS!$D$30)-PPE!$D$38+WC!$D$20)/(1+F5)^2)+((IS!$E$32*(1-Assumptions!$B$20)+(-IS!$E$30)-PPE!$E$38+WC!$E$20)/(1+F5)^3)+((IS!$F$32*(1-Assumptions!$B$20)+(-IS!$F$30)-PPE!$F$38+WC!$F$20)/(1+F5)^4)+((IS!$G$32*(1-Assumptions!$B$20)+(-IS!$G$30)-PPE!$G$38+WC!$G$20)/(1+F5)^5)+(((IS!$G$32*(1-Assumptions!$B$20)+(-IS!$G$30)-PPE!$G$38+WC!$G$20)*(1+A9)/(F5-A9))/(1+F5)^5))-Debt!$B$43)*1000/Assumptions!$B$32</f>
        <v/>
      </c>
    </row>
    <row r="12">
      <c r="A12" s="3" t="inlineStr">
        <is>
          <t>Enterprise value (SAR bn) — Y1 growth × EBITDA target margin</t>
        </is>
      </c>
    </row>
    <row r="13">
      <c r="A13" s="6" t="inlineStr">
        <is>
          <t>Growth →</t>
        </is>
      </c>
      <c r="B13" s="10" t="n">
        <v>0.02</v>
      </c>
      <c r="C13" s="10" t="n">
        <v>0.04</v>
      </c>
      <c r="D13" s="10" t="n">
        <v>0.06</v>
      </c>
      <c r="E13" s="10" t="n">
        <v>0.08</v>
      </c>
      <c r="F13" s="10" t="n">
        <v>0.1</v>
      </c>
    </row>
    <row r="14">
      <c r="A14" s="10" t="n">
        <v>0.3</v>
      </c>
      <c r="B14" s="21">
        <f>(((Assumptions!$B$5*(1+B13)^5)*(0.3-Assumptions!$B$9)*(1-Assumptions!$B$20))*5/(1+Assumptions!$B$21)^3)+((((Assumptions!$B$5*(1+B13)^5)*(0.3-Assumptions!$B$9)*(1-Assumptions!$B$20))*(1+Assumptions!$B$22)/(Assumptions!$B$21-Assumptions!$B$22))/(1+Assumptions!$B$21)^5)</f>
        <v/>
      </c>
      <c r="C14" s="21">
        <f>(((Assumptions!$B$5*(1+C13)^5)*(0.3-Assumptions!$B$9)*(1-Assumptions!$B$20))*5/(1+Assumptions!$B$21)^3)+((((Assumptions!$B$5*(1+C13)^5)*(0.3-Assumptions!$B$9)*(1-Assumptions!$B$20))*(1+Assumptions!$B$22)/(Assumptions!$B$21-Assumptions!$B$22))/(1+Assumptions!$B$21)^5)</f>
        <v/>
      </c>
      <c r="D14" s="21">
        <f>(((Assumptions!$B$5*(1+D13)^5)*(0.3-Assumptions!$B$9)*(1-Assumptions!$B$20))*5/(1+Assumptions!$B$21)^3)+((((Assumptions!$B$5*(1+D13)^5)*(0.3-Assumptions!$B$9)*(1-Assumptions!$B$20))*(1+Assumptions!$B$22)/(Assumptions!$B$21-Assumptions!$B$22))/(1+Assumptions!$B$21)^5)</f>
        <v/>
      </c>
      <c r="E14" s="21">
        <f>(((Assumptions!$B$5*(1+E13)^5)*(0.3-Assumptions!$B$9)*(1-Assumptions!$B$20))*5/(1+Assumptions!$B$21)^3)+((((Assumptions!$B$5*(1+E13)^5)*(0.3-Assumptions!$B$9)*(1-Assumptions!$B$20))*(1+Assumptions!$B$22)/(Assumptions!$B$21-Assumptions!$B$22))/(1+Assumptions!$B$21)^5)</f>
        <v/>
      </c>
      <c r="F14" s="21">
        <f>(((Assumptions!$B$5*(1+F13)^5)*(0.3-Assumptions!$B$9)*(1-Assumptions!$B$20))*5/(1+Assumptions!$B$21)^3)+((((Assumptions!$B$5*(1+F13)^5)*(0.3-Assumptions!$B$9)*(1-Assumptions!$B$20))*(1+Assumptions!$B$22)/(Assumptions!$B$21-Assumptions!$B$22))/(1+Assumptions!$B$21)^5)</f>
        <v/>
      </c>
    </row>
    <row r="15">
      <c r="A15" s="10" t="n">
        <v>0.33</v>
      </c>
      <c r="B15" s="21">
        <f>(((Assumptions!$B$5*(1+B13)^5)*(0.33-Assumptions!$B$9)*(1-Assumptions!$B$20))*5/(1+Assumptions!$B$21)^3)+((((Assumptions!$B$5*(1+B13)^5)*(0.33-Assumptions!$B$9)*(1-Assumptions!$B$20))*(1+Assumptions!$B$22)/(Assumptions!$B$21-Assumptions!$B$22))/(1+Assumptions!$B$21)^5)</f>
        <v/>
      </c>
      <c r="C15" s="21">
        <f>(((Assumptions!$B$5*(1+C13)^5)*(0.33-Assumptions!$B$9)*(1-Assumptions!$B$20))*5/(1+Assumptions!$B$21)^3)+((((Assumptions!$B$5*(1+C13)^5)*(0.33-Assumptions!$B$9)*(1-Assumptions!$B$20))*(1+Assumptions!$B$22)/(Assumptions!$B$21-Assumptions!$B$22))/(1+Assumptions!$B$21)^5)</f>
        <v/>
      </c>
      <c r="D15" s="21">
        <f>(((Assumptions!$B$5*(1+D13)^5)*(0.33-Assumptions!$B$9)*(1-Assumptions!$B$20))*5/(1+Assumptions!$B$21)^3)+((((Assumptions!$B$5*(1+D13)^5)*(0.33-Assumptions!$B$9)*(1-Assumptions!$B$20))*(1+Assumptions!$B$22)/(Assumptions!$B$21-Assumptions!$B$22))/(1+Assumptions!$B$21)^5)</f>
        <v/>
      </c>
      <c r="E15" s="21">
        <f>(((Assumptions!$B$5*(1+E13)^5)*(0.33-Assumptions!$B$9)*(1-Assumptions!$B$20))*5/(1+Assumptions!$B$21)^3)+((((Assumptions!$B$5*(1+E13)^5)*(0.33-Assumptions!$B$9)*(1-Assumptions!$B$20))*(1+Assumptions!$B$22)/(Assumptions!$B$21-Assumptions!$B$22))/(1+Assumptions!$B$21)^5)</f>
        <v/>
      </c>
      <c r="F15" s="21">
        <f>(((Assumptions!$B$5*(1+F13)^5)*(0.33-Assumptions!$B$9)*(1-Assumptions!$B$20))*5/(1+Assumptions!$B$21)^3)+((((Assumptions!$B$5*(1+F13)^5)*(0.33-Assumptions!$B$9)*(1-Assumptions!$B$20))*(1+Assumptions!$B$22)/(Assumptions!$B$21-Assumptions!$B$22))/(1+Assumptions!$B$21)^5)</f>
        <v/>
      </c>
    </row>
    <row r="16">
      <c r="A16" s="10" t="n">
        <v>0.36</v>
      </c>
      <c r="B16" s="21">
        <f>(((Assumptions!$B$5*(1+B13)^5)*(0.36-Assumptions!$B$9)*(1-Assumptions!$B$20))*5/(1+Assumptions!$B$21)^3)+((((Assumptions!$B$5*(1+B13)^5)*(0.36-Assumptions!$B$9)*(1-Assumptions!$B$20))*(1+Assumptions!$B$22)/(Assumptions!$B$21-Assumptions!$B$22))/(1+Assumptions!$B$21)^5)</f>
        <v/>
      </c>
      <c r="C16" s="21">
        <f>(((Assumptions!$B$5*(1+C13)^5)*(0.36-Assumptions!$B$9)*(1-Assumptions!$B$20))*5/(1+Assumptions!$B$21)^3)+((((Assumptions!$B$5*(1+C13)^5)*(0.36-Assumptions!$B$9)*(1-Assumptions!$B$20))*(1+Assumptions!$B$22)/(Assumptions!$B$21-Assumptions!$B$22))/(1+Assumptions!$B$21)^5)</f>
        <v/>
      </c>
      <c r="D16" s="21">
        <f>(((Assumptions!$B$5*(1+D13)^5)*(0.36-Assumptions!$B$9)*(1-Assumptions!$B$20))*5/(1+Assumptions!$B$21)^3)+((((Assumptions!$B$5*(1+D13)^5)*(0.36-Assumptions!$B$9)*(1-Assumptions!$B$20))*(1+Assumptions!$B$22)/(Assumptions!$B$21-Assumptions!$B$22))/(1+Assumptions!$B$21)^5)</f>
        <v/>
      </c>
      <c r="E16" s="21">
        <f>(((Assumptions!$B$5*(1+E13)^5)*(0.36-Assumptions!$B$9)*(1-Assumptions!$B$20))*5/(1+Assumptions!$B$21)^3)+((((Assumptions!$B$5*(1+E13)^5)*(0.36-Assumptions!$B$9)*(1-Assumptions!$B$20))*(1+Assumptions!$B$22)/(Assumptions!$B$21-Assumptions!$B$22))/(1+Assumptions!$B$21)^5)</f>
        <v/>
      </c>
      <c r="F16" s="21">
        <f>(((Assumptions!$B$5*(1+F13)^5)*(0.36-Assumptions!$B$9)*(1-Assumptions!$B$20))*5/(1+Assumptions!$B$21)^3)+((((Assumptions!$B$5*(1+F13)^5)*(0.36-Assumptions!$B$9)*(1-Assumptions!$B$20))*(1+Assumptions!$B$22)/(Assumptions!$B$21-Assumptions!$B$22))/(1+Assumptions!$B$21)^5)</f>
        <v/>
      </c>
    </row>
    <row r="17">
      <c r="A17" s="10" t="n">
        <v>0.39</v>
      </c>
      <c r="B17" s="21">
        <f>(((Assumptions!$B$5*(1+B13)^5)*(0.39-Assumptions!$B$9)*(1-Assumptions!$B$20))*5/(1+Assumptions!$B$21)^3)+((((Assumptions!$B$5*(1+B13)^5)*(0.39-Assumptions!$B$9)*(1-Assumptions!$B$20))*(1+Assumptions!$B$22)/(Assumptions!$B$21-Assumptions!$B$22))/(1+Assumptions!$B$21)^5)</f>
        <v/>
      </c>
      <c r="C17" s="21">
        <f>(((Assumptions!$B$5*(1+C13)^5)*(0.39-Assumptions!$B$9)*(1-Assumptions!$B$20))*5/(1+Assumptions!$B$21)^3)+((((Assumptions!$B$5*(1+C13)^5)*(0.39-Assumptions!$B$9)*(1-Assumptions!$B$20))*(1+Assumptions!$B$22)/(Assumptions!$B$21-Assumptions!$B$22))/(1+Assumptions!$B$21)^5)</f>
        <v/>
      </c>
      <c r="D17" s="21">
        <f>(((Assumptions!$B$5*(1+D13)^5)*(0.39-Assumptions!$B$9)*(1-Assumptions!$B$20))*5/(1+Assumptions!$B$21)^3)+((((Assumptions!$B$5*(1+D13)^5)*(0.39-Assumptions!$B$9)*(1-Assumptions!$B$20))*(1+Assumptions!$B$22)/(Assumptions!$B$21-Assumptions!$B$22))/(1+Assumptions!$B$21)^5)</f>
        <v/>
      </c>
      <c r="E17" s="21">
        <f>(((Assumptions!$B$5*(1+E13)^5)*(0.39-Assumptions!$B$9)*(1-Assumptions!$B$20))*5/(1+Assumptions!$B$21)^3)+((((Assumptions!$B$5*(1+E13)^5)*(0.39-Assumptions!$B$9)*(1-Assumptions!$B$20))*(1+Assumptions!$B$22)/(Assumptions!$B$21-Assumptions!$B$22))/(1+Assumptions!$B$21)^5)</f>
        <v/>
      </c>
      <c r="F17" s="21">
        <f>(((Assumptions!$B$5*(1+F13)^5)*(0.39-Assumptions!$B$9)*(1-Assumptions!$B$20))*5/(1+Assumptions!$B$21)^3)+((((Assumptions!$B$5*(1+F13)^5)*(0.39-Assumptions!$B$9)*(1-Assumptions!$B$20))*(1+Assumptions!$B$22)/(Assumptions!$B$21-Assumptions!$B$22))/(1+Assumptions!$B$21)^5)</f>
        <v/>
      </c>
    </row>
    <row r="18">
      <c r="A18" s="10" t="n">
        <v>0.42</v>
      </c>
      <c r="B18" s="21">
        <f>(((Assumptions!$B$5*(1+B13)^5)*(0.42-Assumptions!$B$9)*(1-Assumptions!$B$20))*5/(1+Assumptions!$B$21)^3)+((((Assumptions!$B$5*(1+B13)^5)*(0.42-Assumptions!$B$9)*(1-Assumptions!$B$20))*(1+Assumptions!$B$22)/(Assumptions!$B$21-Assumptions!$B$22))/(1+Assumptions!$B$21)^5)</f>
        <v/>
      </c>
      <c r="C18" s="21">
        <f>(((Assumptions!$B$5*(1+C13)^5)*(0.42-Assumptions!$B$9)*(1-Assumptions!$B$20))*5/(1+Assumptions!$B$21)^3)+((((Assumptions!$B$5*(1+C13)^5)*(0.42-Assumptions!$B$9)*(1-Assumptions!$B$20))*(1+Assumptions!$B$22)/(Assumptions!$B$21-Assumptions!$B$22))/(1+Assumptions!$B$21)^5)</f>
        <v/>
      </c>
      <c r="D18" s="21">
        <f>(((Assumptions!$B$5*(1+D13)^5)*(0.42-Assumptions!$B$9)*(1-Assumptions!$B$20))*5/(1+Assumptions!$B$21)^3)+((((Assumptions!$B$5*(1+D13)^5)*(0.42-Assumptions!$B$9)*(1-Assumptions!$B$20))*(1+Assumptions!$B$22)/(Assumptions!$B$21-Assumptions!$B$22))/(1+Assumptions!$B$21)^5)</f>
        <v/>
      </c>
      <c r="E18" s="21">
        <f>(((Assumptions!$B$5*(1+E13)^5)*(0.42-Assumptions!$B$9)*(1-Assumptions!$B$20))*5/(1+Assumptions!$B$21)^3)+((((Assumptions!$B$5*(1+E13)^5)*(0.42-Assumptions!$B$9)*(1-Assumptions!$B$20))*(1+Assumptions!$B$22)/(Assumptions!$B$21-Assumptions!$B$22))/(1+Assumptions!$B$21)^5)</f>
        <v/>
      </c>
      <c r="F18" s="21">
        <f>(((Assumptions!$B$5*(1+F13)^5)*(0.42-Assumptions!$B$9)*(1-Assumptions!$B$20))*5/(1+Assumptions!$B$21)^3)+((((Assumptions!$B$5*(1+F13)^5)*(0.42-Assumptions!$B$9)*(1-Assumptions!$B$20))*(1+Assumptions!$B$22)/(Assumptions!$B$21-Assumptions!$B$22))/(1+Assumptions!$B$21)^5)</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DCF VALUATION</t>
        </is>
      </c>
    </row>
    <row r="2">
      <c r="A2" s="2" t="inlineStr">
        <is>
          <t>Free cash flow to firm (FCFF), discounted at WACC. Terminal value via Gordon growth.</t>
        </is>
      </c>
    </row>
    <row r="4">
      <c r="A4" s="14" t="n"/>
      <c r="C4" s="15" t="inlineStr">
        <is>
          <t>Y1</t>
        </is>
      </c>
      <c r="D4" s="15" t="inlineStr">
        <is>
          <t>Y2</t>
        </is>
      </c>
      <c r="E4" s="15" t="inlineStr">
        <is>
          <t>Y3</t>
        </is>
      </c>
      <c r="F4" s="15" t="inlineStr">
        <is>
          <t>Y4</t>
        </is>
      </c>
      <c r="G4" s="15" t="inlineStr">
        <is>
          <t>Y5</t>
        </is>
      </c>
    </row>
    <row r="6">
      <c r="A6" s="6" t="inlineStr">
        <is>
          <t>EBIT (from IS)</t>
        </is>
      </c>
      <c r="C6" s="21">
        <f>IS!$C$32</f>
        <v/>
      </c>
      <c r="D6" s="21">
        <f>IS!$D$32</f>
        <v/>
      </c>
      <c r="E6" s="21">
        <f>IS!$E$32</f>
        <v/>
      </c>
      <c r="F6" s="21">
        <f>IS!$F$32</f>
        <v/>
      </c>
      <c r="G6" s="21">
        <f>IS!$G$32</f>
        <v/>
      </c>
    </row>
    <row r="7">
      <c r="A7" s="6" t="inlineStr">
        <is>
          <t>× (1 − tax)</t>
        </is>
      </c>
      <c r="C7" s="21">
        <f>C6*(1-Assumptions!$B$20)</f>
        <v/>
      </c>
      <c r="D7" s="21">
        <f>D6*(1-Assumptions!$B$20)</f>
        <v/>
      </c>
      <c r="E7" s="21">
        <f>E6*(1-Assumptions!$B$20)</f>
        <v/>
      </c>
      <c r="F7" s="21">
        <f>F6*(1-Assumptions!$B$20)</f>
        <v/>
      </c>
      <c r="G7" s="21">
        <f>G6*(1-Assumptions!$B$20)</f>
        <v/>
      </c>
    </row>
    <row r="8">
      <c r="A8" s="6" t="inlineStr">
        <is>
          <t>+ Depreciation (non-cash)</t>
        </is>
      </c>
      <c r="C8" s="21">
        <f>-IS!$C$30</f>
        <v/>
      </c>
      <c r="D8" s="21">
        <f>-IS!$D$30</f>
        <v/>
      </c>
      <c r="E8" s="21">
        <f>-IS!$E$30</f>
        <v/>
      </c>
      <c r="F8" s="21">
        <f>-IS!$F$30</f>
        <v/>
      </c>
      <c r="G8" s="21">
        <f>-IS!$G$30</f>
        <v/>
      </c>
    </row>
    <row r="9">
      <c r="A9" s="6" t="inlineStr">
        <is>
          <t>+ Amortisation (non-cash)</t>
        </is>
      </c>
      <c r="C9" s="21">
        <f>-IS!$C$31</f>
        <v/>
      </c>
      <c r="D9" s="21">
        <f>-IS!$D$31</f>
        <v/>
      </c>
      <c r="E9" s="21">
        <f>-IS!$E$31</f>
        <v/>
      </c>
      <c r="F9" s="21">
        <f>-IS!$F$31</f>
        <v/>
      </c>
      <c r="G9" s="21">
        <f>-IS!$G$31</f>
        <v/>
      </c>
    </row>
    <row r="10">
      <c r="A10" s="6" t="inlineStr">
        <is>
          <t>− Capex (PP&amp;E)</t>
        </is>
      </c>
      <c r="C10" s="21">
        <f>-PPE!$C$38</f>
        <v/>
      </c>
      <c r="D10" s="21">
        <f>-PPE!$D$38</f>
        <v/>
      </c>
      <c r="E10" s="21">
        <f>-PPE!$E$38</f>
        <v/>
      </c>
      <c r="F10" s="21">
        <f>-PPE!$F$38</f>
        <v/>
      </c>
      <c r="G10" s="21">
        <f>-PPE!$G$38</f>
        <v/>
      </c>
    </row>
    <row r="11">
      <c r="A11" s="6" t="inlineStr">
        <is>
          <t>− Spectrum cash payments</t>
        </is>
      </c>
      <c r="C11" s="21">
        <f>-Spectrum!$C$25</f>
        <v/>
      </c>
      <c r="D11" s="21">
        <f>-Spectrum!$D$25</f>
        <v/>
      </c>
      <c r="E11" s="21">
        <f>-Spectrum!$E$25</f>
        <v/>
      </c>
      <c r="F11" s="21">
        <f>-Spectrum!$F$25</f>
        <v/>
      </c>
      <c r="G11" s="21">
        <f>-Spectrum!$G$25</f>
        <v/>
      </c>
    </row>
    <row r="12">
      <c r="A12" s="6" t="inlineStr">
        <is>
          <t>+/− Δ working capital</t>
        </is>
      </c>
      <c r="C12" s="21">
        <f>WC!$C$20</f>
        <v/>
      </c>
      <c r="D12" s="21">
        <f>WC!$D$20</f>
        <v/>
      </c>
      <c r="E12" s="21">
        <f>WC!$E$20</f>
        <v/>
      </c>
      <c r="F12" s="21">
        <f>WC!$F$20</f>
        <v/>
      </c>
      <c r="G12" s="21">
        <f>WC!$G$20</f>
        <v/>
      </c>
    </row>
    <row r="13">
      <c r="A13" s="18" t="inlineStr">
        <is>
          <t>FCFF</t>
        </is>
      </c>
      <c r="C13" s="22">
        <f>C7+C8+C9+C10+C11+C12</f>
        <v/>
      </c>
      <c r="D13" s="22">
        <f>D7+D8+D9+D10+D11+D12</f>
        <v/>
      </c>
      <c r="E13" s="22">
        <f>E7+E8+E9+E10+E11+E12</f>
        <v/>
      </c>
      <c r="F13" s="22">
        <f>F7+F8+F9+F10+F11+F12</f>
        <v/>
      </c>
      <c r="G13" s="22">
        <f>G7+G8+G9+G10+G11+G12</f>
        <v/>
      </c>
    </row>
    <row r="15">
      <c r="A15" s="6" t="inlineStr">
        <is>
          <t>Discount factor (1/(1+WACC)^t)</t>
        </is>
      </c>
      <c r="C15" s="29">
        <f>1/(1+Assumptions!$B$21)^1</f>
        <v/>
      </c>
      <c r="D15" s="29">
        <f>1/(1+Assumptions!$B$21)^2</f>
        <v/>
      </c>
      <c r="E15" s="29">
        <f>1/(1+Assumptions!$B$21)^3</f>
        <v/>
      </c>
      <c r="F15" s="29">
        <f>1/(1+Assumptions!$B$21)^4</f>
        <v/>
      </c>
      <c r="G15" s="29">
        <f>1/(1+Assumptions!$B$21)^5</f>
        <v/>
      </c>
    </row>
    <row r="16">
      <c r="A16" s="5" t="inlineStr">
        <is>
          <t>PV of FCFF</t>
        </is>
      </c>
      <c r="C16" s="24">
        <f>C13*C15</f>
        <v/>
      </c>
      <c r="D16" s="24">
        <f>D13*D15</f>
        <v/>
      </c>
      <c r="E16" s="24">
        <f>E13*E15</f>
        <v/>
      </c>
      <c r="F16" s="24">
        <f>F13*F15</f>
        <v/>
      </c>
      <c r="G16" s="24">
        <f>G13*G15</f>
        <v/>
      </c>
    </row>
    <row r="18">
      <c r="A18" s="5" t="inlineStr">
        <is>
          <t>Sum PV (explicit Y1-Y5)</t>
        </is>
      </c>
      <c r="B18" s="24">
        <f>SUM(C16:G16)</f>
        <v/>
      </c>
    </row>
    <row r="19">
      <c r="A19" s="6" t="inlineStr">
        <is>
          <t>Terminal value (Gordon)</t>
        </is>
      </c>
      <c r="B19" s="21">
        <f>G13*(1+Assumptions!$B$22)/(Assumptions!$B$21-Assumptions!$B$22)</f>
        <v/>
      </c>
    </row>
    <row r="20">
      <c r="A20" s="5" t="inlineStr">
        <is>
          <t>PV of terminal value</t>
        </is>
      </c>
      <c r="B20" s="24">
        <f>B19*G15</f>
        <v/>
      </c>
    </row>
    <row r="22">
      <c r="A22" s="18" t="inlineStr">
        <is>
          <t>ENTERPRISE VALUE</t>
        </is>
      </c>
      <c r="B22" s="22">
        <f>B18+B20</f>
        <v/>
      </c>
    </row>
    <row r="23">
      <c r="A23" s="6" t="inlineStr">
        <is>
          <t>− Net debt (Y0)</t>
        </is>
      </c>
      <c r="B23" s="21">
        <f>-Debt!$B$43</f>
        <v/>
      </c>
    </row>
    <row r="24">
      <c r="A24" s="18" t="inlineStr">
        <is>
          <t>EQUITY VALUE</t>
        </is>
      </c>
      <c r="B24" s="22">
        <f>B22+B23</f>
        <v/>
      </c>
    </row>
    <row r="25">
      <c r="A25" s="18" t="inlineStr">
        <is>
          <t>Per-share value (SAR)</t>
        </is>
      </c>
      <c r="B25" s="30">
        <f>B24*1000/Assumptions!$B$32</f>
        <v/>
      </c>
    </row>
    <row r="27">
      <c r="A27" s="3" t="inlineStr">
        <is>
          <t>Cross-checks</t>
        </is>
      </c>
    </row>
    <row r="28">
      <c r="A28" s="6" t="inlineStr">
        <is>
          <t>Implied FY+1 EV/EBITDA</t>
        </is>
      </c>
      <c r="B28" s="31">
        <f>B22/IS!$C$28</f>
        <v/>
      </c>
    </row>
    <row r="29">
      <c r="A29" s="6" t="inlineStr">
        <is>
          <t>Implied FY+1 EV/EBIT</t>
        </is>
      </c>
      <c r="B29" s="31">
        <f>B22/IS!$C$32</f>
        <v/>
      </c>
    </row>
    <row r="30">
      <c r="A30" s="6" t="inlineStr">
        <is>
          <t>Implied FY+1 P/E</t>
        </is>
      </c>
      <c r="B30" s="31">
        <f>B24/IS!$C$40</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3" t="inlineStr">
        <is>
          <t>MODEL INTEGRITY CHECKS</t>
        </is>
      </c>
    </row>
    <row r="2">
      <c r="A2" s="2" t="inlineStr">
        <is>
          <t>All checks should evaluate to PASS. Tolerance is 0.01 (SAR 10 million).</t>
        </is>
      </c>
    </row>
    <row r="4">
      <c r="A4" s="14" t="n"/>
      <c r="B4" s="15" t="inlineStr">
        <is>
          <t>Y0 (base)</t>
        </is>
      </c>
      <c r="C4" s="15" t="inlineStr">
        <is>
          <t>Y1</t>
        </is>
      </c>
      <c r="D4" s="15" t="inlineStr">
        <is>
          <t>Y2</t>
        </is>
      </c>
      <c r="E4" s="15" t="inlineStr">
        <is>
          <t>Y3</t>
        </is>
      </c>
      <c r="F4" s="15" t="inlineStr">
        <is>
          <t>Y4</t>
        </is>
      </c>
      <c r="G4" s="15" t="inlineStr">
        <is>
          <t>Y5</t>
        </is>
      </c>
    </row>
    <row r="6">
      <c r="A6" s="6" t="inlineStr">
        <is>
          <t>1. Balance sheet balances (A − L − E)</t>
        </is>
      </c>
      <c r="B6" s="32">
        <f>IF(ABS(BS!B46)&lt;0.01,"PASS","FAIL: "&amp;TEXT(BS!B46,"+0.00;-0.00"))</f>
        <v/>
      </c>
      <c r="C6" s="32">
        <f>IF(ABS(BS!C46)&lt;0.01,"PASS","FAIL: "&amp;TEXT(BS!C46,"+0.00;-0.00"))</f>
        <v/>
      </c>
      <c r="D6" s="32">
        <f>IF(ABS(BS!D46)&lt;0.01,"PASS","FAIL: "&amp;TEXT(BS!D46,"+0.00;-0.00"))</f>
        <v/>
      </c>
      <c r="E6" s="32">
        <f>IF(ABS(BS!E46)&lt;0.01,"PASS","FAIL: "&amp;TEXT(BS!E46,"+0.00;-0.00"))</f>
        <v/>
      </c>
      <c r="F6" s="32">
        <f>IF(ABS(BS!F46)&lt;0.01,"PASS","FAIL: "&amp;TEXT(BS!F46,"+0.00;-0.00"))</f>
        <v/>
      </c>
      <c r="G6" s="32">
        <f>IF(ABS(BS!G46)&lt;0.01,"PASS","FAIL: "&amp;TEXT(BS!G46,"+0.00;-0.00"))</f>
        <v/>
      </c>
    </row>
    <row r="7">
      <c r="A7" s="6" t="inlineStr">
        <is>
          <t>2. BS cash = CFS rollforward</t>
        </is>
      </c>
      <c r="C7" s="32">
        <f>IF(ABS(BS!C7-CFS!C28)&lt;0.01,"PASS","FAIL")</f>
        <v/>
      </c>
      <c r="D7" s="32">
        <f>IF(ABS(BS!D7-CFS!D28)&lt;0.01,"PASS","FAIL")</f>
        <v/>
      </c>
      <c r="E7" s="32">
        <f>IF(ABS(BS!E7-CFS!E28)&lt;0.01,"PASS","FAIL")</f>
        <v/>
      </c>
      <c r="F7" s="32">
        <f>IF(ABS(BS!F7-CFS!F28)&lt;0.01,"PASS","FAIL")</f>
        <v/>
      </c>
      <c r="G7" s="32">
        <f>IF(ABS(BS!G7-CFS!G28)&lt;0.01,"PASS","FAIL")</f>
        <v/>
      </c>
    </row>
    <row r="8">
      <c r="A8" s="6" t="inlineStr">
        <is>
          <t>3. Equity rollforward = BS equity</t>
        </is>
      </c>
      <c r="B8" s="32">
        <f>IF(ABS(Equity!B15-BS!B44)&lt;0.01,"PASS","FAIL")</f>
        <v/>
      </c>
      <c r="C8" s="32">
        <f>IF(ABS(Equity!C15-BS!C44)&lt;0.01,"PASS","FAIL")</f>
        <v/>
      </c>
      <c r="D8" s="32">
        <f>IF(ABS(Equity!D15-BS!D44)&lt;0.01,"PASS","FAIL")</f>
        <v/>
      </c>
      <c r="E8" s="32">
        <f>IF(ABS(Equity!E15-BS!E44)&lt;0.01,"PASS","FAIL")</f>
        <v/>
      </c>
      <c r="F8" s="32">
        <f>IF(ABS(Equity!F15-BS!F44)&lt;0.01,"PASS","FAIL")</f>
        <v/>
      </c>
      <c r="G8" s="32">
        <f>IF(ABS(Equity!G15-BS!G44)&lt;0.01,"PASS","FAIL")</f>
        <v/>
      </c>
    </row>
    <row r="9">
      <c r="A9" s="6" t="inlineStr">
        <is>
          <t>4. Cash balance ≥ 0</t>
        </is>
      </c>
      <c r="B9" s="32">
        <f>IF(BS!B7&gt;=0,"PASS","FAIL (negative)")</f>
        <v/>
      </c>
      <c r="C9" s="32">
        <f>IF(BS!C7&gt;=0,"PASS","FAIL (negative)")</f>
        <v/>
      </c>
      <c r="D9" s="32">
        <f>IF(BS!D7&gt;=0,"PASS","FAIL (negative)")</f>
        <v/>
      </c>
      <c r="E9" s="32">
        <f>IF(BS!E7&gt;=0,"PASS","FAIL (negative)")</f>
        <v/>
      </c>
      <c r="F9" s="32">
        <f>IF(BS!F7&gt;=0,"PASS","FAIL (negative)")</f>
        <v/>
      </c>
      <c r="G9" s="32">
        <f>IF(BS!G7&gt;=0,"PASS","FAIL (negative)")</f>
        <v/>
      </c>
    </row>
    <row r="10">
      <c r="A10" s="6" t="inlineStr">
        <is>
          <t>5. Net income positive</t>
        </is>
      </c>
      <c r="C10" s="32">
        <f>IF(IS!$C$40&gt;0,"PASS","WARNING")</f>
        <v/>
      </c>
      <c r="D10" s="32">
        <f>IF(IS!$D$40&gt;0,"PASS","WARNING")</f>
        <v/>
      </c>
      <c r="E10" s="32">
        <f>IF(IS!$E$40&gt;0,"PASS","WARNING")</f>
        <v/>
      </c>
      <c r="F10" s="32">
        <f>IF(IS!$F$40&gt;0,"PASS","WARNING")</f>
        <v/>
      </c>
      <c r="G10" s="32">
        <f>IF(IS!$G$40&gt;0,"PASS","WARNING")</f>
        <v/>
      </c>
    </row>
  </sheetData>
  <conditionalFormatting sqref="B6:G10">
    <cfRule type="cellIs" priority="1" operator="equal" dxfId="0">
      <formula>"PASS"</formula>
    </cfRule>
    <cfRule type="expression" priority="2" dxfId="1">
      <formula>AND(B6&lt;&gt;"PASS",B6&lt;&gt;"")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2026-05-24T18:44:52Z</dcterms:created>
  <dcterms:modified xmlns:dcterms="http://purl.org/dc/terms/" xmlns:xsi="http://www.w3.org/2001/XMLSchema-instance" xsi:type="dcterms:W3CDTF">2026-05-24T18:44:52Z</dcterms:modified>
</cp:coreProperties>
</file>