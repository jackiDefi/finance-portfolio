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&quot;x&quot;"/>
    <numFmt numFmtId="167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222222"/>
      <sz val="11"/>
    </font>
    <font>
      <name val="Calibri"/>
      <b val="1"/>
      <color rgb="001F3A5F"/>
      <sz val="12"/>
    </font>
    <font>
      <name val="Calibri"/>
      <b val="1"/>
      <color rgb="00FFFFFF"/>
      <sz val="11"/>
    </font>
    <font>
      <name val="Calibri"/>
      <b val="1"/>
      <color rgb="001155CC"/>
      <sz val="11"/>
    </font>
    <font>
      <name val="Calibri"/>
      <i val="1"/>
      <color rgb="00888888"/>
      <sz val="9"/>
    </font>
    <font>
      <name val="Calibri"/>
      <color rgb="00666666"/>
      <sz val="9"/>
    </font>
    <font>
      <name val="Calibri"/>
      <b val="1"/>
      <color rgb="0011111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8884A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164" fontId="5" fillId="0" borderId="0" applyAlignment="1" pivotButton="0" quotePrefix="0" xfId="0">
      <alignment horizontal="right"/>
    </xf>
    <xf numFmtId="0" fontId="6" fillId="0" borderId="0" pivotButton="0" quotePrefix="0" xfId="0"/>
    <xf numFmtId="165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0" fontId="7" fillId="0" borderId="0" pivotButton="0" quotePrefix="0" xfId="0"/>
    <xf numFmtId="164" fontId="2" fillId="0" borderId="0" applyAlignment="1" pivotButton="0" quotePrefix="0" xfId="0">
      <alignment horizontal="right"/>
    </xf>
    <xf numFmtId="0" fontId="8" fillId="0" borderId="0" pivotButton="0" quotePrefix="0" xfId="0"/>
    <xf numFmtId="164" fontId="8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0" fontId="8" fillId="4" borderId="0" pivotButton="0" quotePrefix="0" xfId="0"/>
    <xf numFmtId="164" fontId="8" fillId="4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166" fontId="8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2" ht="30" customHeight="1">
      <c r="B2" s="1" t="inlineStr">
        <is>
          <t>Retail &amp; Consumer — 5-Year Operating Model</t>
        </is>
      </c>
    </row>
    <row r="4">
      <c r="B4" s="2" t="inlineStr"/>
    </row>
    <row r="5">
      <c r="B5" s="2" t="inlineStr">
        <is>
          <t>Case study calibration: Costco Wholesale (NASDAQ: COST)</t>
        </is>
      </c>
    </row>
    <row r="6">
      <c r="B6" s="2" t="inlineStr"/>
    </row>
    <row r="7">
      <c r="B7" s="3" t="inlineStr">
        <is>
          <t>MODEL MAP</t>
        </is>
      </c>
    </row>
    <row r="8">
      <c r="B8" s="2" t="inlineStr">
        <is>
          <t xml:space="preserve">  Cover       — this sheet: map, conventions, disclaimer</t>
        </is>
      </c>
    </row>
    <row r="9">
      <c r="B9" s="2" t="inlineStr">
        <is>
          <t xml:space="preserve">  Inputs      — every driver in one place (blue cells are inputs)</t>
        </is>
      </c>
    </row>
    <row r="10">
      <c r="B10" s="2" t="inlineStr">
        <is>
          <t xml:space="preserve">  Forecast    — 5-year income statement, FCFF build, key ratios</t>
        </is>
      </c>
    </row>
    <row r="11">
      <c r="B11" s="2" t="inlineStr">
        <is>
          <t xml:space="preserve">  Valuation   — DCF, terminal value, EV → equity → per-share</t>
        </is>
      </c>
    </row>
    <row r="12">
      <c r="B12" s="2" t="inlineStr"/>
    </row>
    <row r="13">
      <c r="B13" s="3" t="inlineStr">
        <is>
          <t>CONVENTIONS</t>
        </is>
      </c>
    </row>
    <row r="14">
      <c r="B14" s="2" t="inlineStr">
        <is>
          <t xml:space="preserve">  Blue font    = input you can change</t>
        </is>
      </c>
    </row>
    <row r="15">
      <c r="B15" s="2" t="inlineStr">
        <is>
          <t xml:space="preserve">  Black font   = formula (do not overwrite)</t>
        </is>
      </c>
    </row>
    <row r="16">
      <c r="B16" s="2" t="inlineStr">
        <is>
          <t xml:space="preserve">  Bold         = output / subtotal</t>
        </is>
      </c>
    </row>
    <row r="17">
      <c r="B17" s="2" t="inlineStr"/>
    </row>
    <row r="18">
      <c r="B18" s="3" t="inlineStr">
        <is>
          <t>METHOD</t>
        </is>
      </c>
    </row>
    <row r="19">
      <c r="B19" s="2" t="inlineStr">
        <is>
          <t xml:space="preserve">  FCFF = NOPAT + D&amp;A − capex − ΔWorking capital</t>
        </is>
      </c>
    </row>
    <row r="20">
      <c r="B20" s="2" t="inlineStr">
        <is>
          <t xml:space="preserve">  NOPAT = EBIT × (1 − tax).  Interest = net debt × cost of debt.</t>
        </is>
      </c>
    </row>
    <row r="21">
      <c r="B21" s="2" t="inlineStr">
        <is>
          <t xml:space="preserve">  Net debt is negative (net cash), so interest is income.</t>
        </is>
      </c>
    </row>
    <row r="22">
      <c r="B22" s="2" t="inlineStr">
        <is>
          <t xml:space="preserve">  ΔWC absorbs a % of incremental revenue.</t>
        </is>
      </c>
    </row>
    <row r="23">
      <c r="B23" s="2" t="inlineStr">
        <is>
          <t xml:space="preserve">  Terminal value via Gordon growth, discounted at WACC.</t>
        </is>
      </c>
    </row>
    <row r="24">
      <c r="B24" s="2" t="inlineStr"/>
    </row>
    <row r="25">
      <c r="B25" s="3" t="inlineStr">
        <is>
          <t>DISCLAIMER</t>
        </is>
      </c>
    </row>
    <row r="26">
      <c r="B26" s="2" t="inlineStr">
        <is>
          <t xml:space="preserve">  Default values approximate the case-study company's most recent</t>
        </is>
      </c>
    </row>
    <row r="27">
      <c r="B27" s="2" t="inlineStr">
        <is>
          <t xml:space="preserve">  reported year. Balance-sheet starting positions are illustrative.</t>
        </is>
      </c>
    </row>
    <row r="28">
      <c r="B28" s="2" t="inlineStr">
        <is>
          <t xml:space="preserve">  Replace blue input cells with audited figures before any real use.</t>
        </is>
      </c>
    </row>
    <row r="29">
      <c r="B29" s="2" t="inlineStr">
        <is>
          <t xml:space="preserve">  Analytical template only —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 ht="26" customHeight="1">
      <c r="A1" s="4" t="inlineStr">
        <is>
          <t>Inputs — drivers</t>
        </is>
      </c>
    </row>
    <row r="3">
      <c r="A3" s="5" t="inlineStr">
        <is>
          <t>Driver</t>
        </is>
      </c>
      <c r="B3" s="6" t="inlineStr">
        <is>
          <t>Value</t>
        </is>
      </c>
      <c r="C3" s="5" t="inlineStr">
        <is>
          <t>Unit</t>
        </is>
      </c>
    </row>
    <row r="4">
      <c r="A4" s="2" t="inlineStr">
        <is>
          <t>Revenue (Y0)</t>
        </is>
      </c>
      <c r="B4" s="7" t="n">
        <v>254.5</v>
      </c>
      <c r="C4" s="8" t="inlineStr">
        <is>
          <t>USD bn</t>
        </is>
      </c>
    </row>
    <row r="5">
      <c r="A5" s="2" t="inlineStr">
        <is>
          <t>Revenue growth</t>
        </is>
      </c>
      <c r="B5" s="9" t="n">
        <v>0.07000000000000001</v>
      </c>
      <c r="C5" s="8" t="inlineStr">
        <is>
          <t>%</t>
        </is>
      </c>
    </row>
    <row r="6">
      <c r="A6" s="2" t="inlineStr">
        <is>
          <t>EBITDA margin</t>
        </is>
      </c>
      <c r="B6" s="9" t="n">
        <v>0.047</v>
      </c>
      <c r="C6" s="8" t="inlineStr">
        <is>
          <t>%</t>
        </is>
      </c>
    </row>
    <row r="7">
      <c r="A7" s="2" t="inlineStr">
        <is>
          <t>D&amp;A / revenue</t>
        </is>
      </c>
      <c r="B7" s="9" t="n">
        <v>0.008</v>
      </c>
      <c r="C7" s="8" t="inlineStr">
        <is>
          <t>%</t>
        </is>
      </c>
    </row>
    <row r="8">
      <c r="A8" s="2" t="inlineStr">
        <is>
          <t>Capex intensity</t>
        </is>
      </c>
      <c r="B8" s="9" t="n">
        <v>0.018</v>
      </c>
      <c r="C8" s="8" t="inlineStr">
        <is>
          <t>%</t>
        </is>
      </c>
    </row>
    <row r="9">
      <c r="A9" s="2" t="inlineStr">
        <is>
          <t>Tax rate</t>
        </is>
      </c>
      <c r="B9" s="9" t="n">
        <v>0.25</v>
      </c>
      <c r="C9" s="8" t="inlineStr">
        <is>
          <t>%</t>
        </is>
      </c>
    </row>
    <row r="10">
      <c r="A10" s="2" t="inlineStr">
        <is>
          <t>WACC</t>
        </is>
      </c>
      <c r="B10" s="9" t="n">
        <v>0.075</v>
      </c>
      <c r="C10" s="8" t="inlineStr">
        <is>
          <t>%</t>
        </is>
      </c>
    </row>
    <row r="11">
      <c r="A11" s="2" t="inlineStr">
        <is>
          <t>Terminal growth</t>
        </is>
      </c>
      <c r="B11" s="9" t="n">
        <v>0.03</v>
      </c>
      <c r="C11" s="8" t="inlineStr">
        <is>
          <t>%</t>
        </is>
      </c>
    </row>
    <row r="12">
      <c r="A12" s="2" t="inlineStr">
        <is>
          <t>Net debt (Y0)</t>
        </is>
      </c>
      <c r="B12" s="7" t="n">
        <v>-5</v>
      </c>
      <c r="C12" s="8" t="inlineStr">
        <is>
          <t>USD bn</t>
        </is>
      </c>
    </row>
    <row r="13">
      <c r="A13" s="2" t="inlineStr">
        <is>
          <t>Shares outstanding (m)</t>
        </is>
      </c>
      <c r="B13" s="10" t="n">
        <v>445</v>
      </c>
      <c r="C13" s="8" t="inlineStr">
        <is>
          <t>millions</t>
        </is>
      </c>
    </row>
    <row r="14">
      <c r="A14" s="2" t="inlineStr">
        <is>
          <t>Cost of debt</t>
        </is>
      </c>
      <c r="B14" s="9" t="n">
        <v>0.05</v>
      </c>
      <c r="C14" s="8" t="inlineStr">
        <is>
          <t>%</t>
        </is>
      </c>
    </row>
    <row r="15">
      <c r="A15" s="2" t="inlineStr">
        <is>
          <t>WC % of incremental revenue</t>
        </is>
      </c>
      <c r="B15" s="9" t="n">
        <v>0.02</v>
      </c>
      <c r="C15" s="8" t="inlineStr">
        <is>
          <t>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4" t="inlineStr">
        <is>
          <t>Forecast — USD billion</t>
        </is>
      </c>
    </row>
    <row r="3">
      <c r="A3" s="11" t="inlineStr">
        <is>
          <t>USD billion</t>
        </is>
      </c>
      <c r="C3" s="6" t="inlineStr">
        <is>
          <t>Y1</t>
        </is>
      </c>
      <c r="D3" s="6" t="inlineStr">
        <is>
          <t>Y2</t>
        </is>
      </c>
      <c r="E3" s="6" t="inlineStr">
        <is>
          <t>Y3</t>
        </is>
      </c>
      <c r="F3" s="6" t="inlineStr">
        <is>
          <t>Y4</t>
        </is>
      </c>
      <c r="G3" s="6" t="inlineStr">
        <is>
          <t>Y5</t>
        </is>
      </c>
    </row>
    <row r="4">
      <c r="A4" s="2" t="inlineStr">
        <is>
          <t>Revenue</t>
        </is>
      </c>
      <c r="C4" s="12">
        <f>Inputs!$B$4*(1+Inputs!$B$5)</f>
        <v/>
      </c>
      <c r="D4" s="12">
        <f>C4*(1+Inputs!$B$5)</f>
        <v/>
      </c>
      <c r="E4" s="12">
        <f>D4*(1+Inputs!$B$5)</f>
        <v/>
      </c>
      <c r="F4" s="12">
        <f>E4*(1+Inputs!$B$5)</f>
        <v/>
      </c>
      <c r="G4" s="12">
        <f>F4*(1+Inputs!$B$5)</f>
        <v/>
      </c>
    </row>
    <row r="5">
      <c r="A5" s="2" t="inlineStr">
        <is>
          <t>EBITDA</t>
        </is>
      </c>
      <c r="C5" s="12">
        <f>C4*Inputs!$B$6</f>
        <v/>
      </c>
      <c r="D5" s="12">
        <f>D4*Inputs!$B$6</f>
        <v/>
      </c>
      <c r="E5" s="12">
        <f>E4*Inputs!$B$6</f>
        <v/>
      </c>
      <c r="F5" s="12">
        <f>F4*Inputs!$B$6</f>
        <v/>
      </c>
      <c r="G5" s="12">
        <f>G4*Inputs!$B$6</f>
        <v/>
      </c>
    </row>
    <row r="6">
      <c r="A6" s="2" t="inlineStr">
        <is>
          <t>D&amp;A</t>
        </is>
      </c>
      <c r="C6" s="12">
        <f>C4*Inputs!$B$7</f>
        <v/>
      </c>
      <c r="D6" s="12">
        <f>D4*Inputs!$B$7</f>
        <v/>
      </c>
      <c r="E6" s="12">
        <f>E4*Inputs!$B$7</f>
        <v/>
      </c>
      <c r="F6" s="12">
        <f>F4*Inputs!$B$7</f>
        <v/>
      </c>
      <c r="G6" s="12">
        <f>G4*Inputs!$B$7</f>
        <v/>
      </c>
    </row>
    <row r="7">
      <c r="A7" s="13" t="inlineStr">
        <is>
          <t>EBIT</t>
        </is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  <c r="G7" s="14">
        <f>G5-G6</f>
        <v/>
      </c>
    </row>
    <row r="8">
      <c r="A8" s="2" t="inlineStr">
        <is>
          <t>Interest</t>
        </is>
      </c>
      <c r="C8" s="12">
        <f>Inputs!$B$12*Inputs!$B$14</f>
        <v/>
      </c>
      <c r="D8" s="12">
        <f>Inputs!$B$12*Inputs!$B$14</f>
        <v/>
      </c>
      <c r="E8" s="12">
        <f>Inputs!$B$12*Inputs!$B$14</f>
        <v/>
      </c>
      <c r="F8" s="12">
        <f>Inputs!$B$12*Inputs!$B$14</f>
        <v/>
      </c>
      <c r="G8" s="12">
        <f>Inputs!$B$12*Inputs!$B$14</f>
        <v/>
      </c>
    </row>
    <row r="9">
      <c r="A9" s="2" t="inlineStr">
        <is>
          <t>Pre-tax profit</t>
        </is>
      </c>
      <c r="C9" s="12">
        <f>C7-C8</f>
        <v/>
      </c>
      <c r="D9" s="12">
        <f>D7-D8</f>
        <v/>
      </c>
      <c r="E9" s="12">
        <f>E7-E8</f>
        <v/>
      </c>
      <c r="F9" s="12">
        <f>F7-F8</f>
        <v/>
      </c>
      <c r="G9" s="12">
        <f>G7-G8</f>
        <v/>
      </c>
    </row>
    <row r="10">
      <c r="A10" s="2" t="inlineStr">
        <is>
          <t>Tax</t>
        </is>
      </c>
      <c r="C10" s="12">
        <f>IF(C9&gt;0,C9*Inputs!$B$9,0)</f>
        <v/>
      </c>
      <c r="D10" s="12">
        <f>IF(D9&gt;0,D9*Inputs!$B$9,0)</f>
        <v/>
      </c>
      <c r="E10" s="12">
        <f>IF(E9&gt;0,E9*Inputs!$B$9,0)</f>
        <v/>
      </c>
      <c r="F10" s="12">
        <f>IF(F9&gt;0,F9*Inputs!$B$9,0)</f>
        <v/>
      </c>
      <c r="G10" s="12">
        <f>IF(G9&gt;0,G9*Inputs!$B$9,0)</f>
        <v/>
      </c>
    </row>
    <row r="11">
      <c r="A11" s="13" t="inlineStr">
        <is>
          <t>Net income</t>
        </is>
      </c>
      <c r="C11" s="14">
        <f>C9-C10</f>
        <v/>
      </c>
      <c r="D11" s="14">
        <f>D9-D10</f>
        <v/>
      </c>
      <c r="E11" s="14">
        <f>E9-E10</f>
        <v/>
      </c>
      <c r="F11" s="14">
        <f>F9-F10</f>
        <v/>
      </c>
      <c r="G11" s="14">
        <f>G9-G10</f>
        <v/>
      </c>
    </row>
    <row r="12">
      <c r="A12" s="2" t="inlineStr">
        <is>
          <t>Capex</t>
        </is>
      </c>
      <c r="C12" s="12">
        <f>C4*Inputs!$B$8</f>
        <v/>
      </c>
      <c r="D12" s="12">
        <f>D4*Inputs!$B$8</f>
        <v/>
      </c>
      <c r="E12" s="12">
        <f>E4*Inputs!$B$8</f>
        <v/>
      </c>
      <c r="F12" s="12">
        <f>F4*Inputs!$B$8</f>
        <v/>
      </c>
      <c r="G12" s="12">
        <f>G4*Inputs!$B$8</f>
        <v/>
      </c>
    </row>
    <row r="13">
      <c r="A13" s="2" t="inlineStr">
        <is>
          <t>ΔWorking capital</t>
        </is>
      </c>
      <c r="C13" s="12">
        <f>(C4-Inputs!$B$4)*Inputs!$B$15</f>
        <v/>
      </c>
      <c r="D13" s="12">
        <f>(D4-C4)*Inputs!$B$15</f>
        <v/>
      </c>
      <c r="E13" s="12">
        <f>(E4-D4)*Inputs!$B$15</f>
        <v/>
      </c>
      <c r="F13" s="12">
        <f>(F4-E4)*Inputs!$B$15</f>
        <v/>
      </c>
      <c r="G13" s="12">
        <f>(G4-F4)*Inputs!$B$15</f>
        <v/>
      </c>
    </row>
    <row r="14">
      <c r="A14" s="2" t="inlineStr">
        <is>
          <t>NOPAT</t>
        </is>
      </c>
      <c r="C14" s="12">
        <f>C7*(1-Inputs!$B$9)</f>
        <v/>
      </c>
      <c r="D14" s="12">
        <f>D7*(1-Inputs!$B$9)</f>
        <v/>
      </c>
      <c r="E14" s="12">
        <f>E7*(1-Inputs!$B$9)</f>
        <v/>
      </c>
      <c r="F14" s="12">
        <f>F7*(1-Inputs!$B$9)</f>
        <v/>
      </c>
      <c r="G14" s="12">
        <f>G7*(1-Inputs!$B$9)</f>
        <v/>
      </c>
    </row>
    <row r="15">
      <c r="A15" s="13" t="inlineStr">
        <is>
          <t>FCFF</t>
        </is>
      </c>
      <c r="C15" s="14">
        <f>C14+C6-C12-C13</f>
        <v/>
      </c>
      <c r="D15" s="14">
        <f>D14+D6-D12-D13</f>
        <v/>
      </c>
      <c r="E15" s="14">
        <f>E14+E6-E12-E13</f>
        <v/>
      </c>
      <c r="F15" s="14">
        <f>F14+F6-F12-F13</f>
        <v/>
      </c>
      <c r="G15" s="14">
        <f>G14+G6-G12-G13</f>
        <v/>
      </c>
    </row>
    <row r="17">
      <c r="A17" s="3" t="inlineStr">
        <is>
          <t>Key ratios</t>
        </is>
      </c>
    </row>
    <row r="18">
      <c r="A18" s="2" t="inlineStr">
        <is>
          <t>EBITDA margin</t>
        </is>
      </c>
      <c r="C18" s="15">
        <f>C5/C4</f>
        <v/>
      </c>
      <c r="D18" s="15">
        <f>D5/D4</f>
        <v/>
      </c>
      <c r="E18" s="15">
        <f>E5/E4</f>
        <v/>
      </c>
      <c r="F18" s="15">
        <f>F5/F4</f>
        <v/>
      </c>
      <c r="G18" s="15">
        <f>G5/G4</f>
        <v/>
      </c>
    </row>
    <row r="19">
      <c r="A19" s="2" t="inlineStr">
        <is>
          <t>FCF / revenue</t>
        </is>
      </c>
      <c r="C19" s="15">
        <f>C15/C4</f>
        <v/>
      </c>
      <c r="D19" s="15">
        <f>D15/D4</f>
        <v/>
      </c>
      <c r="E19" s="15">
        <f>E15/E4</f>
        <v/>
      </c>
      <c r="F19" s="15">
        <f>F15/F4</f>
        <v/>
      </c>
      <c r="G19" s="15">
        <f>G15/G4</f>
        <v/>
      </c>
    </row>
    <row r="20">
      <c r="A20" s="2" t="inlineStr">
        <is>
          <t>Capex / revenue</t>
        </is>
      </c>
      <c r="C20" s="15">
        <f>C12/C4</f>
        <v/>
      </c>
      <c r="D20" s="15">
        <f>D12/D4</f>
        <v/>
      </c>
      <c r="E20" s="15">
        <f>E12/E4</f>
        <v/>
      </c>
      <c r="F20" s="15">
        <f>F12/F4</f>
        <v/>
      </c>
      <c r="G20" s="15">
        <f>G12/G4</f>
        <v/>
      </c>
    </row>
    <row r="21">
      <c r="A21" s="2" t="inlineStr">
        <is>
          <t>Net debt / EBITDA</t>
        </is>
      </c>
      <c r="C21" s="16">
        <f>Inputs!$B$12/C5</f>
        <v/>
      </c>
      <c r="D21" s="16">
        <f>Inputs!$B$12/D5</f>
        <v/>
      </c>
      <c r="E21" s="16">
        <f>Inputs!$B$12/E5</f>
        <v/>
      </c>
      <c r="F21" s="16">
        <f>Inputs!$B$12/F5</f>
        <v/>
      </c>
      <c r="G21" s="16">
        <f>Inputs!$B$12/G5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4" t="inlineStr">
        <is>
          <t>Valuation — DCF</t>
        </is>
      </c>
    </row>
    <row r="3">
      <c r="A3" s="3" t="inlineStr">
        <is>
          <t>Discounted cash flow</t>
        </is>
      </c>
    </row>
    <row r="4">
      <c r="C4" s="6" t="inlineStr">
        <is>
          <t>Y1</t>
        </is>
      </c>
      <c r="D4" s="6" t="inlineStr">
        <is>
          <t>Y2</t>
        </is>
      </c>
      <c r="E4" s="6" t="inlineStr">
        <is>
          <t>Y3</t>
        </is>
      </c>
      <c r="F4" s="6" t="inlineStr">
        <is>
          <t>Y4</t>
        </is>
      </c>
      <c r="G4" s="6" t="inlineStr">
        <is>
          <t>Y5</t>
        </is>
      </c>
    </row>
    <row r="5">
      <c r="A5" s="2" t="inlineStr">
        <is>
          <t>FCFF</t>
        </is>
      </c>
      <c r="C5" s="12">
        <f>Forecast!C15</f>
        <v/>
      </c>
      <c r="D5" s="12">
        <f>Forecast!D15</f>
        <v/>
      </c>
      <c r="E5" s="12">
        <f>Forecast!E15</f>
        <v/>
      </c>
      <c r="F5" s="12">
        <f>Forecast!F15</f>
        <v/>
      </c>
      <c r="G5" s="12">
        <f>Forecast!G15</f>
        <v/>
      </c>
    </row>
    <row r="6">
      <c r="A6" s="2" t="inlineStr">
        <is>
          <t>Discount factor</t>
        </is>
      </c>
      <c r="C6" s="17">
        <f>1/(1+Inputs!$B$10)^1</f>
        <v/>
      </c>
      <c r="D6" s="17">
        <f>1/(1+Inputs!$B$10)^2</f>
        <v/>
      </c>
      <c r="E6" s="17">
        <f>1/(1+Inputs!$B$10)^3</f>
        <v/>
      </c>
      <c r="F6" s="17">
        <f>1/(1+Inputs!$B$10)^4</f>
        <v/>
      </c>
      <c r="G6" s="17">
        <f>1/(1+Inputs!$B$10)^5</f>
        <v/>
      </c>
    </row>
    <row r="7">
      <c r="A7" s="13" t="inlineStr">
        <is>
          <t>PV of FCFF</t>
        </is>
      </c>
      <c r="C7" s="14">
        <f>C5*C6</f>
        <v/>
      </c>
      <c r="D7" s="14">
        <f>D5*D6</f>
        <v/>
      </c>
      <c r="E7" s="14">
        <f>E5*E6</f>
        <v/>
      </c>
      <c r="F7" s="14">
        <f>F5*F6</f>
        <v/>
      </c>
      <c r="G7" s="14">
        <f>G5*G6</f>
        <v/>
      </c>
    </row>
    <row r="9">
      <c r="A9" s="18" t="inlineStr">
        <is>
          <t>Sum of PV of FCFF</t>
        </is>
      </c>
      <c r="B9" s="19">
        <f>SUM(C7:G7)</f>
        <v/>
      </c>
    </row>
    <row r="10">
      <c r="A10" s="2" t="inlineStr">
        <is>
          <t>Terminal value (Y5)</t>
        </is>
      </c>
      <c r="B10" s="12">
        <f>Forecast!G15*(1+Inputs!$B$11)/(Inputs!$B$10-Inputs!$B$11)</f>
        <v/>
      </c>
    </row>
    <row r="11">
      <c r="A11" s="18" t="inlineStr">
        <is>
          <t>PV of terminal value</t>
        </is>
      </c>
      <c r="B11" s="19">
        <f>B10/(1+Inputs!$B$10)^5</f>
        <v/>
      </c>
    </row>
    <row r="12">
      <c r="A12" s="18" t="inlineStr">
        <is>
          <t>Enterprise value</t>
        </is>
      </c>
      <c r="B12" s="19">
        <f>B9+B11</f>
        <v/>
      </c>
    </row>
    <row r="13">
      <c r="A13" s="2" t="inlineStr">
        <is>
          <t>Less: net debt</t>
        </is>
      </c>
      <c r="B13" s="12">
        <f>Inputs!$B$12</f>
        <v/>
      </c>
    </row>
    <row r="14">
      <c r="A14" s="18" t="inlineStr">
        <is>
          <t>Equity value</t>
        </is>
      </c>
      <c r="B14" s="19">
        <f>B12-B13</f>
        <v/>
      </c>
    </row>
    <row r="15">
      <c r="A15" s="2" t="inlineStr">
        <is>
          <t>Shares outstanding (m)</t>
        </is>
      </c>
      <c r="B15" s="20">
        <f>Inputs!$B$13</f>
        <v/>
      </c>
    </row>
    <row r="16">
      <c r="A16" s="18" t="inlineStr">
        <is>
          <t>Per-share value (USD)</t>
        </is>
      </c>
      <c r="B16" s="19">
        <f>B14*1000/B15</f>
        <v/>
      </c>
    </row>
    <row r="17">
      <c r="A17" s="18" t="inlineStr">
        <is>
          <t>Implied FY+1 EV/EBITDA</t>
        </is>
      </c>
      <c r="B17" s="21">
        <f>B12/Forecast!C5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2026-05-29T18:47:49Z</dcterms:created>
  <dcterms:modified xmlns:dcterms="http://purl.org/dc/terms/" xmlns:xsi="http://www.w3.org/2001/XMLSchema-instance" xsi:type="dcterms:W3CDTF">2026-05-29T18:47:49Z</dcterms:modified>
</cp:coreProperties>
</file>