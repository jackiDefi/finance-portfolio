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Forecast" sheetId="3" state="visible" r:id="rId3"/>
    <sheet xmlns:r="http://schemas.openxmlformats.org/officeDocument/2006/relationships" name="Valu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0.0%"/>
    <numFmt numFmtId="166" formatCode="0.00&quot;x&quot;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222222"/>
      <sz val="11"/>
    </font>
    <font>
      <name val="Calibri"/>
      <b val="1"/>
      <color rgb="001F3A5F"/>
      <sz val="12"/>
    </font>
    <font>
      <name val="Calibri"/>
      <b val="1"/>
      <color rgb="00FFFFFF"/>
      <sz val="11"/>
    </font>
    <font>
      <name val="Calibri"/>
      <b val="1"/>
      <color rgb="001155CC"/>
      <sz val="11"/>
    </font>
    <font>
      <name val="Calibri"/>
      <i val="1"/>
      <color rgb="00888888"/>
      <sz val="9"/>
    </font>
    <font>
      <name val="Calibri"/>
      <color rgb="00666666"/>
      <sz val="9"/>
    </font>
    <font>
      <name val="Calibri"/>
      <b val="1"/>
      <color rgb="00111111"/>
      <sz val="1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C8884A"/>
      </patternFill>
    </fill>
    <fill>
      <patternFill patternType="solid">
        <fgColor rgb="00F2F4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4" fillId="3" borderId="0" pivotButton="0" quotePrefix="0" xfId="0"/>
    <xf numFmtId="0" fontId="4" fillId="3" borderId="0" applyAlignment="1" pivotButton="0" quotePrefix="0" xfId="0">
      <alignment horizontal="center"/>
    </xf>
    <xf numFmtId="164" fontId="5" fillId="0" borderId="0" applyAlignment="1" pivotButton="0" quotePrefix="0" xfId="0">
      <alignment horizontal="right"/>
    </xf>
    <xf numFmtId="0" fontId="6" fillId="0" borderId="0" pivotButton="0" quotePrefix="0" xfId="0"/>
    <xf numFmtId="165" fontId="5" fillId="0" borderId="0" applyAlignment="1" pivotButton="0" quotePrefix="0" xfId="0">
      <alignment horizontal="right"/>
    </xf>
    <xf numFmtId="10" fontId="5" fillId="0" borderId="0" applyAlignment="1" pivotButton="0" quotePrefix="0" xfId="0">
      <alignment horizontal="right"/>
    </xf>
    <xf numFmtId="3" fontId="5" fillId="0" borderId="0" applyAlignment="1" pivotButton="0" quotePrefix="0" xfId="0">
      <alignment horizontal="right"/>
    </xf>
    <xf numFmtId="0" fontId="7" fillId="0" borderId="0" pivotButton="0" quotePrefix="0" xfId="0"/>
    <xf numFmtId="164" fontId="2" fillId="0" borderId="0" applyAlignment="1" pivotButton="0" quotePrefix="0" xfId="0">
      <alignment horizontal="right"/>
    </xf>
    <xf numFmtId="0" fontId="8" fillId="0" borderId="0" pivotButton="0" quotePrefix="0" xfId="0"/>
    <xf numFmtId="164" fontId="8" fillId="0" borderId="0" applyAlignment="1" pivotButton="0" quotePrefix="0" xfId="0">
      <alignment horizontal="right"/>
    </xf>
    <xf numFmtId="165" fontId="2" fillId="0" borderId="0" applyAlignment="1" pivotButton="0" quotePrefix="0" xfId="0">
      <alignment horizontal="right"/>
    </xf>
    <xf numFmtId="10" fontId="2" fillId="0" borderId="0" applyAlignment="1" pivotButton="0" quotePrefix="0" xfId="0">
      <alignment horizontal="right"/>
    </xf>
    <xf numFmtId="0" fontId="8" fillId="4" borderId="0" pivotButton="0" quotePrefix="0" xfId="0"/>
    <xf numFmtId="165" fontId="8" fillId="4" borderId="0" applyAlignment="1" pivotButton="0" quotePrefix="0" xfId="0">
      <alignment horizontal="right"/>
    </xf>
    <xf numFmtId="166" fontId="8" fillId="4" borderId="0" applyAlignment="1" pivotButton="0" quotePrefix="0" xfId="0">
      <alignment horizontal="right"/>
    </xf>
    <xf numFmtId="164" fontId="8" fillId="4" borderId="0" applyAlignment="1" pivotButton="0" quotePrefix="0" xfId="0">
      <alignment horizontal="right"/>
    </xf>
    <xf numFmtId="3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3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92" customWidth="1" min="2" max="2"/>
  </cols>
  <sheetData>
    <row r="2" ht="30" customHeight="1">
      <c r="B2" s="1" t="inlineStr">
        <is>
          <t>Banking — 5-Year Operating Model</t>
        </is>
      </c>
    </row>
    <row r="4">
      <c r="B4" s="2" t="inlineStr"/>
    </row>
    <row r="5">
      <c r="B5" s="2" t="inlineStr">
        <is>
          <t>Case study calibration: HSBC Holdings plc</t>
        </is>
      </c>
    </row>
    <row r="6">
      <c r="B6" s="2" t="inlineStr"/>
    </row>
    <row r="7">
      <c r="B7" s="3" t="inlineStr">
        <is>
          <t>MODEL MAP</t>
        </is>
      </c>
    </row>
    <row r="8">
      <c r="B8" s="2" t="inlineStr">
        <is>
          <t xml:space="preserve">  Cover       — this sheet: map, conventions, disclaimer</t>
        </is>
      </c>
    </row>
    <row r="9">
      <c r="B9" s="2" t="inlineStr">
        <is>
          <t xml:space="preserve">  Inputs      — every driver in one place (blue cells are inputs)</t>
        </is>
      </c>
    </row>
    <row r="10">
      <c r="B10" s="2" t="inlineStr">
        <is>
          <t xml:space="preserve">  Forecast    — 5-year bank P&amp;L, tangible-equity rollforward, ratios</t>
        </is>
      </c>
    </row>
    <row r="11">
      <c r="B11" s="2" t="inlineStr">
        <is>
          <t xml:space="preserve">  Valuation   — justified P/TBV, implied equity value, per-share</t>
        </is>
      </c>
    </row>
    <row r="12">
      <c r="B12" s="2" t="inlineStr"/>
    </row>
    <row r="13">
      <c r="B13" s="3" t="inlineStr">
        <is>
          <t>CONVENTIONS</t>
        </is>
      </c>
    </row>
    <row r="14">
      <c r="B14" s="2" t="inlineStr">
        <is>
          <t xml:space="preserve">  Blue font  = input you can change</t>
        </is>
      </c>
    </row>
    <row r="15">
      <c r="B15" s="2" t="inlineStr">
        <is>
          <t xml:space="preserve">  Black font = formula (do not overwrite)</t>
        </is>
      </c>
    </row>
    <row r="16">
      <c r="B16" s="2" t="inlineStr">
        <is>
          <t xml:space="preserve">  Bold       = output / subtotal</t>
        </is>
      </c>
    </row>
    <row r="17">
      <c r="B17" s="2" t="inlineStr"/>
    </row>
    <row r="18">
      <c r="B18" s="3" t="inlineStr">
        <is>
          <t>METHOD</t>
        </is>
      </c>
    </row>
    <row r="19">
      <c r="B19" s="2" t="inlineStr">
        <is>
          <t xml:space="preserve">  NII = earning assets x NIM.  Revenue = NII + fee income.</t>
        </is>
      </c>
    </row>
    <row r="20">
      <c r="B20" s="2" t="inlineStr">
        <is>
          <t xml:space="preserve">  Pre-provision profit = revenue - operating expenses.</t>
        </is>
      </c>
    </row>
    <row r="21">
      <c r="B21" s="2" t="inlineStr">
        <is>
          <t xml:space="preserve">  Net income = (pre-provision profit - provisions) x (1 - tax).</t>
        </is>
      </c>
    </row>
    <row r="22">
      <c r="B22" s="2" t="inlineStr">
        <is>
          <t xml:space="preserve">  Tangible equity rolls forward by retained earnings.</t>
        </is>
      </c>
    </row>
    <row r="23">
      <c r="B23" s="2" t="inlineStr">
        <is>
          <t xml:space="preserve">  ROTE = net income / opening tangible equity.</t>
        </is>
      </c>
    </row>
    <row r="24">
      <c r="B24" s="2" t="inlineStr">
        <is>
          <t xml:space="preserve">  Justified P/TBV = (ROTE - g) / (CoE - g)  [equity-based, NOT a DCF].</t>
        </is>
      </c>
    </row>
    <row r="25">
      <c r="B25" s="2" t="inlineStr"/>
    </row>
    <row r="26">
      <c r="B26" s="3" t="inlineStr">
        <is>
          <t>DISCLAIMER</t>
        </is>
      </c>
    </row>
    <row r="27">
      <c r="B27" s="2" t="inlineStr">
        <is>
          <t xml:space="preserve">  Default values approximate HSBC's most recent reported year.</t>
        </is>
      </c>
    </row>
    <row r="28">
      <c r="B28" s="2" t="inlineStr">
        <is>
          <t xml:space="preserve">  Starting positions are illustrative. Replace blue input cells with</t>
        </is>
      </c>
    </row>
    <row r="29">
      <c r="B29" s="2" t="inlineStr">
        <is>
          <t xml:space="preserve">  audited figures before any real use. Analytical template only —</t>
        </is>
      </c>
    </row>
    <row r="30">
      <c r="B30" s="2" t="inlineStr">
        <is>
          <t xml:space="preserve">  not investment advice.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2" customWidth="1" min="3" max="3"/>
  </cols>
  <sheetData>
    <row r="1" ht="26" customHeight="1">
      <c r="A1" s="4" t="inlineStr">
        <is>
          <t>Inputs — drivers</t>
        </is>
      </c>
    </row>
    <row r="3">
      <c r="A3" s="5" t="inlineStr">
        <is>
          <t>Driver</t>
        </is>
      </c>
      <c r="B3" s="6" t="inlineStr">
        <is>
          <t>Value</t>
        </is>
      </c>
      <c r="C3" s="5" t="inlineStr">
        <is>
          <t>Unit</t>
        </is>
      </c>
    </row>
    <row r="4">
      <c r="A4" s="2" t="inlineStr">
        <is>
          <t>Earning assets (Y0)</t>
        </is>
      </c>
      <c r="B4" s="7" t="n">
        <v>2300</v>
      </c>
      <c r="C4" s="8" t="inlineStr">
        <is>
          <t>USD bn</t>
        </is>
      </c>
    </row>
    <row r="5">
      <c r="A5" s="2" t="inlineStr">
        <is>
          <t>Asset growth</t>
        </is>
      </c>
      <c r="B5" s="9" t="n">
        <v>0.03</v>
      </c>
      <c r="C5" s="8" t="inlineStr">
        <is>
          <t>%</t>
        </is>
      </c>
    </row>
    <row r="6">
      <c r="A6" s="2" t="inlineStr">
        <is>
          <t>Net interest margin (NIM)</t>
        </is>
      </c>
      <c r="B6" s="10" t="n">
        <v>0.016</v>
      </c>
      <c r="C6" s="8" t="inlineStr">
        <is>
          <t>%</t>
        </is>
      </c>
    </row>
    <row r="7">
      <c r="A7" s="2" t="inlineStr">
        <is>
          <t>Fee &amp; other income (Y0)</t>
        </is>
      </c>
      <c r="B7" s="7" t="n">
        <v>22</v>
      </c>
      <c r="C7" s="8" t="inlineStr">
        <is>
          <t>USD bn</t>
        </is>
      </c>
    </row>
    <row r="8">
      <c r="A8" s="2" t="inlineStr">
        <is>
          <t>Cost-to-income ratio</t>
        </is>
      </c>
      <c r="B8" s="9" t="n">
        <v>0.48</v>
      </c>
      <c r="C8" s="8" t="inlineStr">
        <is>
          <t>%</t>
        </is>
      </c>
    </row>
    <row r="9">
      <c r="A9" s="2" t="inlineStr">
        <is>
          <t>Cost of risk</t>
        </is>
      </c>
      <c r="B9" s="10" t="n">
        <v>0.002</v>
      </c>
      <c r="C9" s="8" t="inlineStr">
        <is>
          <t>%</t>
        </is>
      </c>
    </row>
    <row r="10">
      <c r="A10" s="2" t="inlineStr">
        <is>
          <t>Tax rate</t>
        </is>
      </c>
      <c r="B10" s="9" t="n">
        <v>0.22</v>
      </c>
      <c r="C10" s="8" t="inlineStr">
        <is>
          <t>%</t>
        </is>
      </c>
    </row>
    <row r="11">
      <c r="A11" s="2" t="inlineStr">
        <is>
          <t>Tangible equity (Y0)</t>
        </is>
      </c>
      <c r="B11" s="7" t="n">
        <v>155</v>
      </c>
      <c r="C11" s="8" t="inlineStr">
        <is>
          <t>USD bn</t>
        </is>
      </c>
    </row>
    <row r="12">
      <c r="A12" s="2" t="inlineStr">
        <is>
          <t>Dividend payout</t>
        </is>
      </c>
      <c r="B12" s="9" t="n">
        <v>0.5</v>
      </c>
      <c r="C12" s="8" t="inlineStr">
        <is>
          <t>%</t>
        </is>
      </c>
    </row>
    <row r="13">
      <c r="A13" s="2" t="inlineStr">
        <is>
          <t>Cost of equity (CoE)</t>
        </is>
      </c>
      <c r="B13" s="9" t="n">
        <v>0.105</v>
      </c>
      <c r="C13" s="8" t="inlineStr">
        <is>
          <t>%</t>
        </is>
      </c>
    </row>
    <row r="14">
      <c r="A14" s="2" t="inlineStr">
        <is>
          <t>Terminal growth</t>
        </is>
      </c>
      <c r="B14" s="9" t="n">
        <v>0.03</v>
      </c>
      <c r="C14" s="8" t="inlineStr">
        <is>
          <t>%</t>
        </is>
      </c>
    </row>
    <row r="15">
      <c r="A15" s="2" t="inlineStr">
        <is>
          <t>Shares outstanding (m)</t>
        </is>
      </c>
      <c r="B15" s="11" t="n">
        <v>17800</v>
      </c>
      <c r="C15" s="8" t="inlineStr">
        <is>
          <t>millions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26" customHeight="1">
      <c r="A1" s="4" t="inlineStr">
        <is>
          <t>Forecast — USD billion</t>
        </is>
      </c>
    </row>
    <row r="3">
      <c r="A3" s="12" t="inlineStr">
        <is>
          <t>USD billion</t>
        </is>
      </c>
      <c r="C3" s="6" t="inlineStr">
        <is>
          <t>Y1</t>
        </is>
      </c>
      <c r="D3" s="6" t="inlineStr">
        <is>
          <t>Y2</t>
        </is>
      </c>
      <c r="E3" s="6" t="inlineStr">
        <is>
          <t>Y3</t>
        </is>
      </c>
      <c r="F3" s="6" t="inlineStr">
        <is>
          <t>Y4</t>
        </is>
      </c>
      <c r="G3" s="6" t="inlineStr">
        <is>
          <t>Y5</t>
        </is>
      </c>
    </row>
    <row r="4">
      <c r="A4" s="2" t="inlineStr">
        <is>
          <t>Earning assets (avg)</t>
        </is>
      </c>
      <c r="C4" s="13">
        <f>Inputs!$B$4*(1+Inputs!$B$5)^1</f>
        <v/>
      </c>
      <c r="D4" s="13">
        <f>Inputs!$B$4*(1+Inputs!$B$5)^2</f>
        <v/>
      </c>
      <c r="E4" s="13">
        <f>Inputs!$B$4*(1+Inputs!$B$5)^3</f>
        <v/>
      </c>
      <c r="F4" s="13">
        <f>Inputs!$B$4*(1+Inputs!$B$5)^4</f>
        <v/>
      </c>
      <c r="G4" s="13">
        <f>Inputs!$B$4*(1+Inputs!$B$5)^5</f>
        <v/>
      </c>
    </row>
    <row r="5">
      <c r="A5" s="2" t="inlineStr">
        <is>
          <t>Fee &amp; other income</t>
        </is>
      </c>
      <c r="C5" s="13">
        <f>Inputs!$B$7*(1+Inputs!$B$5)^1</f>
        <v/>
      </c>
      <c r="D5" s="13">
        <f>Inputs!$B$7*(1+Inputs!$B$5)^2</f>
        <v/>
      </c>
      <c r="E5" s="13">
        <f>Inputs!$B$7*(1+Inputs!$B$5)^3</f>
        <v/>
      </c>
      <c r="F5" s="13">
        <f>Inputs!$B$7*(1+Inputs!$B$5)^4</f>
        <v/>
      </c>
      <c r="G5" s="13">
        <f>Inputs!$B$7*(1+Inputs!$B$5)^5</f>
        <v/>
      </c>
    </row>
    <row r="6">
      <c r="A6" s="2" t="inlineStr">
        <is>
          <t>Net interest income</t>
        </is>
      </c>
      <c r="C6" s="13">
        <f>C4*Inputs!$B$6</f>
        <v/>
      </c>
      <c r="D6" s="13">
        <f>D4*Inputs!$B$6</f>
        <v/>
      </c>
      <c r="E6" s="13">
        <f>E4*Inputs!$B$6</f>
        <v/>
      </c>
      <c r="F6" s="13">
        <f>F4*Inputs!$B$6</f>
        <v/>
      </c>
      <c r="G6" s="13">
        <f>G4*Inputs!$B$6</f>
        <v/>
      </c>
    </row>
    <row r="7">
      <c r="A7" s="14" t="inlineStr">
        <is>
          <t>Total revenue</t>
        </is>
      </c>
      <c r="C7" s="15">
        <f>C6+C5</f>
        <v/>
      </c>
      <c r="D7" s="15">
        <f>D6+D5</f>
        <v/>
      </c>
      <c r="E7" s="15">
        <f>E6+E5</f>
        <v/>
      </c>
      <c r="F7" s="15">
        <f>F6+F5</f>
        <v/>
      </c>
      <c r="G7" s="15">
        <f>G6+G5</f>
        <v/>
      </c>
    </row>
    <row r="8">
      <c r="A8" s="2" t="inlineStr">
        <is>
          <t>Operating expenses</t>
        </is>
      </c>
      <c r="C8" s="13">
        <f>C7*Inputs!$B$8</f>
        <v/>
      </c>
      <c r="D8" s="13">
        <f>D7*Inputs!$B$8</f>
        <v/>
      </c>
      <c r="E8" s="13">
        <f>E7*Inputs!$B$8</f>
        <v/>
      </c>
      <c r="F8" s="13">
        <f>F7*Inputs!$B$8</f>
        <v/>
      </c>
      <c r="G8" s="13">
        <f>G7*Inputs!$B$8</f>
        <v/>
      </c>
    </row>
    <row r="9">
      <c r="A9" s="14" t="inlineStr">
        <is>
          <t>Pre-provision profit</t>
        </is>
      </c>
      <c r="C9" s="15">
        <f>C7-C8</f>
        <v/>
      </c>
      <c r="D9" s="15">
        <f>D7-D8</f>
        <v/>
      </c>
      <c r="E9" s="15">
        <f>E7-E8</f>
        <v/>
      </c>
      <c r="F9" s="15">
        <f>F7-F8</f>
        <v/>
      </c>
      <c r="G9" s="15">
        <f>G7-G8</f>
        <v/>
      </c>
    </row>
    <row r="10">
      <c r="A10" s="2" t="inlineStr">
        <is>
          <t>Loan-loss provisions</t>
        </is>
      </c>
      <c r="C10" s="13">
        <f>C4*Inputs!$B$9</f>
        <v/>
      </c>
      <c r="D10" s="13">
        <f>D4*Inputs!$B$9</f>
        <v/>
      </c>
      <c r="E10" s="13">
        <f>E4*Inputs!$B$9</f>
        <v/>
      </c>
      <c r="F10" s="13">
        <f>F4*Inputs!$B$9</f>
        <v/>
      </c>
      <c r="G10" s="13">
        <f>G4*Inputs!$B$9</f>
        <v/>
      </c>
    </row>
    <row r="11">
      <c r="A11" s="14" t="inlineStr">
        <is>
          <t>Pre-tax profit</t>
        </is>
      </c>
      <c r="C11" s="15">
        <f>C9-C10</f>
        <v/>
      </c>
      <c r="D11" s="15">
        <f>D9-D10</f>
        <v/>
      </c>
      <c r="E11" s="15">
        <f>E9-E10</f>
        <v/>
      </c>
      <c r="F11" s="15">
        <f>F9-F10</f>
        <v/>
      </c>
      <c r="G11" s="15">
        <f>G9-G10</f>
        <v/>
      </c>
    </row>
    <row r="12">
      <c r="A12" s="2" t="inlineStr">
        <is>
          <t>Tax</t>
        </is>
      </c>
      <c r="C12" s="13">
        <f>IF(C11&gt;0,C11*Inputs!$B$10,0)</f>
        <v/>
      </c>
      <c r="D12" s="13">
        <f>IF(D11&gt;0,D11*Inputs!$B$10,0)</f>
        <v/>
      </c>
      <c r="E12" s="13">
        <f>IF(E11&gt;0,E11*Inputs!$B$10,0)</f>
        <v/>
      </c>
      <c r="F12" s="13">
        <f>IF(F11&gt;0,F11*Inputs!$B$10,0)</f>
        <v/>
      </c>
      <c r="G12" s="13">
        <f>IF(G11&gt;0,G11*Inputs!$B$10,0)</f>
        <v/>
      </c>
    </row>
    <row r="13">
      <c r="A13" s="14" t="inlineStr">
        <is>
          <t>Net income</t>
        </is>
      </c>
      <c r="C13" s="15">
        <f>C11-C12</f>
        <v/>
      </c>
      <c r="D13" s="15">
        <f>D11-D12</f>
        <v/>
      </c>
      <c r="E13" s="15">
        <f>E11-E12</f>
        <v/>
      </c>
      <c r="F13" s="15">
        <f>F11-F12</f>
        <v/>
      </c>
      <c r="G13" s="15">
        <f>G11-G12</f>
        <v/>
      </c>
    </row>
    <row r="14">
      <c r="A14" s="2" t="inlineStr">
        <is>
          <t>Tangible equity (opening)</t>
        </is>
      </c>
      <c r="C14" s="13">
        <f>Inputs!$B$11</f>
        <v/>
      </c>
      <c r="D14" s="13">
        <f>C15</f>
        <v/>
      </c>
      <c r="E14" s="13">
        <f>D15</f>
        <v/>
      </c>
      <c r="F14" s="13">
        <f>E15</f>
        <v/>
      </c>
      <c r="G14" s="13">
        <f>F15</f>
        <v/>
      </c>
    </row>
    <row r="15">
      <c r="A15" s="2" t="inlineStr">
        <is>
          <t>Tangible equity (closing)</t>
        </is>
      </c>
      <c r="C15" s="13">
        <f>C14+C13*(1-Inputs!$B$12)</f>
        <v/>
      </c>
      <c r="D15" s="13">
        <f>D14+D13*(1-Inputs!$B$12)</f>
        <v/>
      </c>
      <c r="E15" s="13">
        <f>E14+E13*(1-Inputs!$B$12)</f>
        <v/>
      </c>
      <c r="F15" s="13">
        <f>F14+F13*(1-Inputs!$B$12)</f>
        <v/>
      </c>
      <c r="G15" s="13">
        <f>G14+G13*(1-Inputs!$B$12)</f>
        <v/>
      </c>
    </row>
    <row r="17">
      <c r="A17" s="3" t="inlineStr">
        <is>
          <t>Key ratios</t>
        </is>
      </c>
    </row>
    <row r="18">
      <c r="A18" s="2" t="inlineStr">
        <is>
          <t>ROTE</t>
        </is>
      </c>
      <c r="C18" s="16">
        <f>C13/C14</f>
        <v/>
      </c>
      <c r="D18" s="16">
        <f>D13/D14</f>
        <v/>
      </c>
      <c r="E18" s="16">
        <f>E13/E14</f>
        <v/>
      </c>
      <c r="F18" s="16">
        <f>F13/F14</f>
        <v/>
      </c>
      <c r="G18" s="16">
        <f>G13/G14</f>
        <v/>
      </c>
    </row>
    <row r="19">
      <c r="A19" s="2" t="inlineStr">
        <is>
          <t>Cost-to-income</t>
        </is>
      </c>
      <c r="C19" s="16">
        <f>Inputs!$B$8</f>
        <v/>
      </c>
      <c r="D19" s="16">
        <f>Inputs!$B$8</f>
        <v/>
      </c>
      <c r="E19" s="16">
        <f>Inputs!$B$8</f>
        <v/>
      </c>
      <c r="F19" s="16">
        <f>Inputs!$B$8</f>
        <v/>
      </c>
      <c r="G19" s="16">
        <f>Inputs!$B$8</f>
        <v/>
      </c>
    </row>
    <row r="20">
      <c r="A20" s="2" t="inlineStr">
        <is>
          <t>NIM</t>
        </is>
      </c>
      <c r="C20" s="17">
        <f>Inputs!$B$6</f>
        <v/>
      </c>
      <c r="D20" s="17">
        <f>Inputs!$B$6</f>
        <v/>
      </c>
      <c r="E20" s="17">
        <f>Inputs!$B$6</f>
        <v/>
      </c>
      <c r="F20" s="17">
        <f>Inputs!$B$6</f>
        <v/>
      </c>
      <c r="G20" s="17">
        <f>Inputs!$B$6</f>
        <v/>
      </c>
    </row>
    <row r="21">
      <c r="A21" s="2" t="inlineStr">
        <is>
          <t>Cost of risk</t>
        </is>
      </c>
      <c r="C21" s="17">
        <f>Inputs!$B$9</f>
        <v/>
      </c>
      <c r="D21" s="17">
        <f>Inputs!$B$9</f>
        <v/>
      </c>
      <c r="E21" s="17">
        <f>Inputs!$B$9</f>
        <v/>
      </c>
      <c r="F21" s="17">
        <f>Inputs!$B$9</f>
        <v/>
      </c>
      <c r="G21" s="17">
        <f>Inputs!$B$9</f>
        <v/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4" customWidth="1" min="2" max="2"/>
  </cols>
  <sheetData>
    <row r="1" ht="26" customHeight="1">
      <c r="A1" s="4" t="inlineStr">
        <is>
          <t>Valuation — Justified P/TBV</t>
        </is>
      </c>
    </row>
    <row r="3">
      <c r="A3" s="3" t="inlineStr">
        <is>
          <t>Equity-based valuation (not a DCF)</t>
        </is>
      </c>
    </row>
    <row r="5">
      <c r="A5" s="18" t="inlineStr">
        <is>
          <t>Normalized ROTE (Y1)</t>
        </is>
      </c>
      <c r="B5" s="19">
        <f>Forecast!C13/Forecast!C14</f>
        <v/>
      </c>
    </row>
    <row r="6">
      <c r="A6" s="2" t="inlineStr">
        <is>
          <t>Cost of equity (CoE)</t>
        </is>
      </c>
      <c r="B6" s="16">
        <f>Inputs!$B$13</f>
        <v/>
      </c>
    </row>
    <row r="7">
      <c r="A7" s="2" t="inlineStr">
        <is>
          <t>Terminal growth (g)</t>
        </is>
      </c>
      <c r="B7" s="16">
        <f>Inputs!$B$14</f>
        <v/>
      </c>
    </row>
    <row r="8">
      <c r="A8" s="18" t="inlineStr">
        <is>
          <t>Justified P/TBV</t>
        </is>
      </c>
      <c r="B8" s="20">
        <f>(B5-B7)/(B6-B7)</f>
        <v/>
      </c>
    </row>
    <row r="9">
      <c r="A9" s="2" t="inlineStr">
        <is>
          <t>Tangible equity Y0 (USD bn)</t>
        </is>
      </c>
      <c r="B9" s="13">
        <f>Inputs!$B$11</f>
        <v/>
      </c>
    </row>
    <row r="10">
      <c r="A10" s="18" t="inlineStr">
        <is>
          <t>Implied equity value (USD bn)</t>
        </is>
      </c>
      <c r="B10" s="21">
        <f>B8*B9</f>
        <v/>
      </c>
    </row>
    <row r="11">
      <c r="A11" s="2" t="inlineStr">
        <is>
          <t>Shares outstanding (m)</t>
        </is>
      </c>
      <c r="B11" s="22">
        <f>Inputs!$B$15</f>
        <v/>
      </c>
    </row>
    <row r="12">
      <c r="A12" s="18" t="inlineStr">
        <is>
          <t>Per-share value (USD)</t>
        </is>
      </c>
      <c r="B12" s="21">
        <f>B10*1000/B11</f>
        <v/>
      </c>
    </row>
    <row r="14">
      <c r="A14" s="12" t="inlineStr">
        <is>
          <t>Note: a bank has no enterprise value — leverage is the business, so</t>
        </is>
      </c>
    </row>
    <row r="15">
      <c r="A15" s="12" t="inlineStr">
        <is>
          <t>EV/EBITDA and operating-cash DCFs do not apply. P/TBV is the frame.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2026-05-29T18:35:53Z</dcterms:created>
  <dcterms:modified xmlns:dcterms="http://purl.org/dc/terms/" xmlns:xsi="http://www.w3.org/2001/XMLSchema-instance" xsi:type="dcterms:W3CDTF">2026-05-29T18:35:53Z</dcterms:modified>
</cp:coreProperties>
</file>